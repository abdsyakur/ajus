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346641336f04bc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New folder\Telegram Desktop\"/>
    </mc:Choice>
  </mc:AlternateContent>
  <xr:revisionPtr revIDLastSave="0" documentId="13_ncr:1_{44D66FF5-F1DD-4CFB-AFBB-764FA9EF41C3}" xr6:coauthVersionLast="46" xr6:coauthVersionMax="46" xr10:uidLastSave="{00000000-0000-0000-0000-000000000000}"/>
  <bookViews>
    <workbookView xWindow="-110" yWindow="-110" windowWidth="19420" windowHeight="11020" activeTab="4" xr2:uid="{00000000-000D-0000-FFFF-FFFF00000000}"/>
  </bookViews>
  <sheets>
    <sheet name="PANEL" sheetId="1" r:id="rId1"/>
    <sheet name="DOSEN" sheetId="2" r:id="rId2"/>
    <sheet name="MAHASISWA" sheetId="3" r:id="rId3"/>
    <sheet name="COMBO" sheetId="4" r:id="rId4"/>
    <sheet name="ZOOM" sheetId="5" r:id="rId5"/>
    <sheet name="JADWAL" sheetId="6" r:id="rId6"/>
  </sheets>
  <functionGroups builtInGroupCount="19"/>
  <definedNames>
    <definedName name="PANEL_FAK">PANEL!$B$4</definedName>
    <definedName name="PANEL_PT">PANEL!$B$3</definedName>
    <definedName name="PANEL_REF">PANEL!$B$9</definedName>
    <definedName name="PANEL_SK">PANEL!$B$5</definedName>
    <definedName name="PANEL_SMT">PANEL!$B$7</definedName>
    <definedName name="PANEL_SMTAK">PANEL!$B$8</definedName>
    <definedName name="PANEL_THNAKA">PANEL!$B$6</definedName>
    <definedName name="_xlnm.Print_Area" localSheetId="4">ZOOM!$A$9:$H$170</definedName>
    <definedName name="Z_ANKER" localSheetId="4">ZOOM!$K$1:$AP$7</definedName>
    <definedName name="Z_CEK" localSheetId="4">ZOOM!$D$1</definedName>
    <definedName name="Z_ID1" localSheetId="4">ZOOM!$D$3</definedName>
    <definedName name="Z_ID2" localSheetId="4">ZOOM!$D$4</definedName>
    <definedName name="Z_ID3" localSheetId="4">ZOOM!$D$5</definedName>
    <definedName name="Z_ID4" localSheetId="4">ZOOM!$D$6</definedName>
    <definedName name="Z_JHARI" localSheetId="4">ZOOM!$D$7</definedName>
    <definedName name="Z_JJAM" localSheetId="4">ZOOM!$E$7</definedName>
    <definedName name="Z_JRUANG" localSheetId="4">ZOOM!$F$7</definedName>
    <definedName name="Z_NAMA" localSheetId="4">ZOOM!$D$2</definedName>
    <definedName name="Z_NIM" localSheetId="4">ZOOM!$H$1</definedName>
    <definedName name="Z_PEMBIMBING" localSheetId="4">ZOOM!$E$3</definedName>
    <definedName name="Z_PENGUJI1" localSheetId="4">ZOOM!$E$4</definedName>
    <definedName name="Z_PENGUJI2" localSheetId="4">ZOOM!$E$5</definedName>
    <definedName name="Z_PENGUJI3" localSheetId="4">ZOOM!$E$6</definedName>
    <definedName name="Z_PRODI" localSheetId="4">ZOOM!$H$2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</calcChain>
</file>

<file path=xl/sharedStrings.xml><?xml version="1.0" encoding="utf-8"?>
<sst xmlns="http://schemas.openxmlformats.org/spreadsheetml/2006/main" count="1767" uniqueCount="604">
  <si>
    <t>PARAMETER GLOBAL &amp; FILE REFERENSI</t>
  </si>
  <si>
    <t>Perguruan Tinggi</t>
  </si>
  <si>
    <t>Fakultas</t>
  </si>
  <si>
    <t>Nomor SK</t>
  </si>
  <si>
    <t/>
  </si>
  <si>
    <t>Tahun Akademik</t>
  </si>
  <si>
    <t>2020-2021</t>
  </si>
  <si>
    <t>Semester</t>
  </si>
  <si>
    <t>GENAP</t>
  </si>
  <si>
    <t>Semester/Angkatan</t>
  </si>
  <si>
    <t>6 / 8 / 10 / 12 / 14</t>
  </si>
  <si>
    <t>Referensi</t>
  </si>
  <si>
    <t>DAFTAR NAMA DOSEN</t>
  </si>
  <si>
    <t>NO</t>
  </si>
  <si>
    <t>ID</t>
  </si>
  <si>
    <t>NIP</t>
  </si>
  <si>
    <t>NAMA</t>
  </si>
  <si>
    <t>D001</t>
  </si>
  <si>
    <t>19800701 200604 1 005</t>
  </si>
  <si>
    <t>Dr. H. Zainal Abidin, M.E.I</t>
  </si>
  <si>
    <t>D002</t>
  </si>
  <si>
    <t>19730911 200604 1 001</t>
  </si>
  <si>
    <t>Dr. H. Rudy Haryanto, SST. MM</t>
  </si>
  <si>
    <t>D003</t>
  </si>
  <si>
    <t>19730923 200604 2 001</t>
  </si>
  <si>
    <t>Dr. Sri Handayani, MM</t>
  </si>
  <si>
    <t>D004</t>
  </si>
  <si>
    <t>19820509 201101 2 014</t>
  </si>
  <si>
    <t>Lely Shofa Imama, Lc., M.S.I</t>
  </si>
  <si>
    <t>D005</t>
  </si>
  <si>
    <t>19690409 200312 2 001</t>
  </si>
  <si>
    <t>Sakinah, M.E.I</t>
  </si>
  <si>
    <t>D006</t>
  </si>
  <si>
    <t>19790904 200312 1 002</t>
  </si>
  <si>
    <t>Farid Firmansyah, MM</t>
  </si>
  <si>
    <t>D007</t>
  </si>
  <si>
    <t>19751116 200604 1 001</t>
  </si>
  <si>
    <t>D008</t>
  </si>
  <si>
    <t>19650605 200312 1 001</t>
  </si>
  <si>
    <t>Dr. H. Nashar. MM</t>
  </si>
  <si>
    <t>D009</t>
  </si>
  <si>
    <t>19610502 200003 1 004</t>
  </si>
  <si>
    <t>H. Mohammad Bashri Asyari, MA</t>
  </si>
  <si>
    <t>D010</t>
  </si>
  <si>
    <t>19710612 200501 1 008</t>
  </si>
  <si>
    <t>Dr. Eko Ariwidodo, M.Phil</t>
  </si>
  <si>
    <t>D011</t>
  </si>
  <si>
    <t>19791001 200501 2 004</t>
  </si>
  <si>
    <t>D012</t>
  </si>
  <si>
    <t>19711012 200312 1 001</t>
  </si>
  <si>
    <t>H. Abdul Mukti Thabrani, Lc. MHI</t>
  </si>
  <si>
    <t>D013</t>
  </si>
  <si>
    <t>19740613 199803 2 005</t>
  </si>
  <si>
    <t>Dr. Farahdilla Kutsiyah, S.Pt., MP</t>
  </si>
  <si>
    <t>D014</t>
  </si>
  <si>
    <t>19710918 199803 1 002</t>
  </si>
  <si>
    <t>Fatekhul Mujib, S.Ag., M.Si</t>
  </si>
  <si>
    <t>D015</t>
  </si>
  <si>
    <t>19880506 201503 1 007</t>
  </si>
  <si>
    <t>Taufikkurrahman, M.H</t>
  </si>
  <si>
    <t>D016</t>
  </si>
  <si>
    <t>19821029 201503 1 001</t>
  </si>
  <si>
    <t>Moch. Cholid Wardi, M.H.I</t>
  </si>
  <si>
    <t>D017</t>
  </si>
  <si>
    <t>19801206 201503 1 002</t>
  </si>
  <si>
    <t>Syukron Affani, M.S.I</t>
  </si>
  <si>
    <t>D018</t>
  </si>
  <si>
    <t>Khotibul Umam, M.E.I</t>
  </si>
  <si>
    <t>D019</t>
  </si>
  <si>
    <t>Fahrurrozi, M.E.I</t>
  </si>
  <si>
    <t>D020</t>
  </si>
  <si>
    <t>Wasilul Chair, M.S.I</t>
  </si>
  <si>
    <t>D021</t>
  </si>
  <si>
    <t>D022</t>
  </si>
  <si>
    <t>D023</t>
  </si>
  <si>
    <t>Ainol Yakin, MM</t>
  </si>
  <si>
    <t>D024</t>
  </si>
  <si>
    <t>Lukmanul Hakim, M.E.I</t>
  </si>
  <si>
    <t>D025</t>
  </si>
  <si>
    <t>Suaidi, S.HI, M.S.I</t>
  </si>
  <si>
    <t>D026</t>
  </si>
  <si>
    <t>D027</t>
  </si>
  <si>
    <t>19601002 199403 1 001</t>
  </si>
  <si>
    <t>Dr. R. Agoes Kamaroellah, M.Si</t>
  </si>
  <si>
    <t>D028</t>
  </si>
  <si>
    <t>H. Achmad Mulayadi, M.Ag</t>
  </si>
  <si>
    <t>D029</t>
  </si>
  <si>
    <t>Fadllan, MA</t>
  </si>
  <si>
    <t>NIM</t>
  </si>
  <si>
    <t>PRODI</t>
  </si>
  <si>
    <t>SMT</t>
  </si>
  <si>
    <t>PEMBIMBING</t>
  </si>
  <si>
    <t>Fatati Nuryana, M.S.I</t>
  </si>
  <si>
    <t>Putri Alfia Halida, M.Th.I</t>
  </si>
  <si>
    <t>H. Wadhan, SE. M.S.I</t>
  </si>
  <si>
    <t>Reza Mubarak, M.S.I</t>
  </si>
  <si>
    <t>Shalehoddin, Lc, MM</t>
  </si>
  <si>
    <t>DAFTAR DISTRIBUSI MAHASISWA DAN DOSEN</t>
  </si>
  <si>
    <t>ID1</t>
  </si>
  <si>
    <t>ID2</t>
  </si>
  <si>
    <t>PENGUJI 1</t>
  </si>
  <si>
    <t>ID3</t>
  </si>
  <si>
    <t>PENGUJI 2</t>
  </si>
  <si>
    <t>PENGUJI 3</t>
  </si>
  <si>
    <t>ID JADWAL</t>
  </si>
  <si>
    <t>HARI</t>
  </si>
  <si>
    <t>JAM</t>
  </si>
  <si>
    <t>NAMA | PRODI</t>
  </si>
  <si>
    <t>HARI|JAM|RUANG</t>
  </si>
  <si>
    <t>IDS</t>
  </si>
  <si>
    <t>SENIN</t>
  </si>
  <si>
    <t>I</t>
  </si>
  <si>
    <t>II</t>
  </si>
  <si>
    <t>III</t>
  </si>
  <si>
    <t>SELASA</t>
  </si>
  <si>
    <t>RABU</t>
  </si>
  <si>
    <t>SUS | Sistem Ujian Skripsi | FEBI | Fakultas Ekonomi &amp; Bisnis Islam</t>
  </si>
  <si>
    <t>Mhs</t>
  </si>
  <si>
    <t>Penguji1</t>
  </si>
  <si>
    <t>Penguji2</t>
  </si>
  <si>
    <t>Pbimbing</t>
  </si>
  <si>
    <t>FREKUENSI</t>
  </si>
  <si>
    <t>FAKULTAS EKONOMI BISNIS DAN BISNIS ISLAM</t>
  </si>
  <si>
    <t>* DISTRIBUSI ID PESERTA *</t>
  </si>
  <si>
    <t>Theme 1 bright 0.5</t>
  </si>
  <si>
    <t>Interior.ColorIndex = 1</t>
  </si>
  <si>
    <t>Interior.ColorIndex = 11</t>
  </si>
  <si>
    <t>Theme 2 bright 0.5</t>
  </si>
  <si>
    <t>Interior.ColorIndex = 2</t>
  </si>
  <si>
    <t>Interior.ColorIndex = 12</t>
  </si>
  <si>
    <t>Theme 3 bright 0.5</t>
  </si>
  <si>
    <t>Interior.ColorIndex = 3</t>
  </si>
  <si>
    <t>Theme 4 bright 0.5</t>
  </si>
  <si>
    <t>Interior.ColorIndex = 4</t>
  </si>
  <si>
    <t>Theme 5 bright 0.5</t>
  </si>
  <si>
    <t>Interior.ColorIndex = 5</t>
  </si>
  <si>
    <t>Theme 6 bright 0.5</t>
  </si>
  <si>
    <t>Interior.ColorIndex = 6</t>
  </si>
  <si>
    <t>Theme 7 bright 0.5</t>
  </si>
  <si>
    <t>Interior.ColorIndex = 7</t>
  </si>
  <si>
    <t>Theme 8 bright 0.5</t>
  </si>
  <si>
    <t>Interior.ColorIndex = 8</t>
  </si>
  <si>
    <t>Theme 9 bright 0.5</t>
  </si>
  <si>
    <t>Interior.ColorIndex = 9</t>
  </si>
  <si>
    <t>Theme 10 bright 0.5</t>
  </si>
  <si>
    <t>Interior.ColorIndex = 10</t>
  </si>
  <si>
    <t>Theme 11 bright 0.5</t>
  </si>
  <si>
    <t>Theme 12 bright 0.5</t>
  </si>
  <si>
    <t>Theme 1 bright 0.8</t>
  </si>
  <si>
    <t>Theme 2 bright 0.8</t>
  </si>
  <si>
    <t>Theme 3 bright 0.8</t>
  </si>
  <si>
    <t>Theme 4 bright 0.8</t>
  </si>
  <si>
    <t>Theme 5 bright 0.8</t>
  </si>
  <si>
    <t>Theme 6 bright 0.8</t>
  </si>
  <si>
    <t>Theme 7 bright 0.8</t>
  </si>
  <si>
    <t>Theme 8 bright 0.8</t>
  </si>
  <si>
    <t>Theme 9 bright 0.8</t>
  </si>
  <si>
    <t>Theme 10 bright 0.8</t>
  </si>
  <si>
    <t>Theme 11 bright 0.8</t>
  </si>
  <si>
    <t>Theme 12 bright 0.8</t>
  </si>
  <si>
    <t>Theme 13 bright 0.5</t>
  </si>
  <si>
    <t>Font.Color = RGB(200, 50, 20)</t>
  </si>
  <si>
    <t>Font.Color = RGB(200, 50, 40)</t>
  </si>
  <si>
    <t>Font.Color = RGB(200, 50, 60)</t>
  </si>
  <si>
    <t>Font.Color = RGB(200, 50, 80)</t>
  </si>
  <si>
    <t>Font.Color = RGB(200, 50, 100)</t>
  </si>
  <si>
    <t>Font.Color = RGB(200, 50, 120)</t>
  </si>
  <si>
    <t>Font.Color = RGB(200, 50, 140)</t>
  </si>
  <si>
    <t>Font.Color = RGB(200, 50, 160)</t>
  </si>
  <si>
    <t>Font.Color = RGB(200, 50, 180)</t>
  </si>
  <si>
    <t>Font.Color = RGB(200, 50, 200)</t>
  </si>
  <si>
    <t>Font.Color = RGB(200, 50, 220)</t>
  </si>
  <si>
    <t>Font.Color = RGB(200, 50, 240)</t>
  </si>
  <si>
    <t>DAFTAR PESERTA UJIAN SEMESTER GENAP 2020-2021</t>
  </si>
  <si>
    <t>JUDUL SKRIPSI</t>
  </si>
  <si>
    <t>ABD MUFID</t>
  </si>
  <si>
    <t>Perbankan Syariah</t>
  </si>
  <si>
    <t>H. Wadhan, SE. M.S.i</t>
  </si>
  <si>
    <t>Analisis Efisiensi Pelayanan Dan Pemasaran Terhadap Minat Nasabah Di Bmt Nu Cab Larangan</t>
  </si>
  <si>
    <t>YESI DWI NOVIYANTO</t>
  </si>
  <si>
    <t>Ekonomi Syariah</t>
  </si>
  <si>
    <t>Persaingan Pedagang Sembako Di Pasar Pao Pamekasan Dalam Perspektif Ekonomi Islam</t>
  </si>
  <si>
    <t>SELVIA AGUSTINI</t>
  </si>
  <si>
    <t>Analisis Proses Produksi Rengginang Lorjuk Di Talang Desa Montok Kecamatan Larangan Kabupaten Pamekasan Dalam Perspektif Ekonomi Islam</t>
  </si>
  <si>
    <t>ELLI SUKMANINGRUM</t>
  </si>
  <si>
    <t>Pengaruh Marketing Syariah Terhadap Keputusan Menggunakan Jasa Keuangan Syariah di Unit Simpan Pinjam Pembiayaan Syariah Koperasi Sumber Anyar (USPPS KSA) Pamekasan.</t>
  </si>
  <si>
    <t>ACHMAT BADRUD TAUFIK</t>
  </si>
  <si>
    <t>Analisis Strategi Pelayanan Dalam Menghadapi Persaingan Bisnis Di Koperasi Syariah Nuri Cabang Palduding</t>
  </si>
  <si>
    <t>QOSHDUL ABRORI</t>
  </si>
  <si>
    <t>Efektifitas Usaha Bonsai Cemara Udang Dalam Upaya Meningkatkan Kesejahteraan Masyarakat Menurut Perspektif Ekonomi Islam Di Desa Dapenda Kecamatan Batang-Batang Kabupaten Sumenep</t>
  </si>
  <si>
    <t>ACHMAD MINHAJI</t>
  </si>
  <si>
    <t>Shalehoddin, Lc. MM</t>
  </si>
  <si>
    <t>Strategi Marketing Pada Produk Tabungan Mudharabah (Tabah) Dalam Meningkatkan Jumlah Nasabah Di Kspps Bmt Nu Cabang Larangan</t>
  </si>
  <si>
    <t>MOH. HESBUL MAULANA</t>
  </si>
  <si>
    <t>Akuntansi Syariah</t>
  </si>
  <si>
    <t>Analisis Perhitungan Biaya Differensial (Differential Cost) Dalam Mengambil Keputusan Membelinatau Mempertahankan Mesin Produksi Pada Cv. Banyu Urib 2019-2020</t>
  </si>
  <si>
    <t>HESTY ALVIANISA’</t>
  </si>
  <si>
    <t>Analisis Minat Nasabah Menabung Di Tabungan Multiguna Bprs Sarana Prima Mandiri Pamekasan</t>
  </si>
  <si>
    <t>KARMAN</t>
  </si>
  <si>
    <t>Strategi Menumbuhkan Jiwa Kewirausahaan Santri Di Ma’had Al-Ittihad Al-Islami Camplong Sampang</t>
  </si>
  <si>
    <t>WIYANATUZ ZAHRAH</t>
  </si>
  <si>
    <t>Lely Shofa Imama, Lc., MSI</t>
  </si>
  <si>
    <t>Dr. Putri Alfia Halida, Lc, M.Th.I</t>
  </si>
  <si>
    <t>Implementasi Spiritual Marketing Dalam Membangun Kepercayaan Pada Anggota Simpanan Pendidikan Fathonah Di BMT NU Cabang Pasean</t>
  </si>
  <si>
    <t>NURUL QOMARIYAH</t>
  </si>
  <si>
    <t>Strategi Pengusaha Cafe Insomnia Panglegur Menghadapi Persaingan Antar Pengusaha Perspektif Etika Bisnis Islam</t>
  </si>
  <si>
    <t>ALIF WAHYU ANGGREINI</t>
  </si>
  <si>
    <t>Analisis implementasi produk tabah (tabungan mudharabah) di kspps baitul maal wa tamwil Nuansa ummah jawa timur cabang galis Kabupaten pamekasan</t>
  </si>
  <si>
    <t>HILDA RAHMATIKA</t>
  </si>
  <si>
    <t>Implementasi Dan Kontribusi Pembiayaan Mudharabah Dalam Meningkatkan Usaha Anggota Ksnu Mandiri Pamekasan</t>
  </si>
  <si>
    <t>FINA MAS'UDAH</t>
  </si>
  <si>
    <t>Fatati Nuryana, M.Si</t>
  </si>
  <si>
    <t>Pengaruh kemampuan dan motivasi kerja terhadap kinerja karyawan PT BPRS Bhakti Sumekar Sumenep</t>
  </si>
  <si>
    <t>MASRURATUL ARIFAINY</t>
  </si>
  <si>
    <t>Fatati Nuryana, M.SI</t>
  </si>
  <si>
    <t>Analisis Faktor-Faktor Yang Mempengaruhi Preferensi Nasabah Dalam Memilih Simpanan Wadi’ah Di Koperasi Sumber Anyar</t>
  </si>
  <si>
    <t>ROFIQAH</t>
  </si>
  <si>
    <t>Penerapan Strategi Marketing Dalam Meningkatkan Volume Penjualan Pada Toko Sumber Rezeki Jalan Kanginan Kabupaten Pamekasan</t>
  </si>
  <si>
    <t>SUGIANTO</t>
  </si>
  <si>
    <t>Persepsi Masyarakat Pondok Pesantren Tantang Perbankan Syariah di PP. Mambaul Ulum Bata-bata Kabupaten Pamekasan</t>
  </si>
  <si>
    <t>CITRA ARIFAH AGUSTIN</t>
  </si>
  <si>
    <t>Optimalisasi Manajemen Zakat Di Badan Amil Zakat Nasional (Baznas) Kabupaten Sumenep</t>
  </si>
  <si>
    <t>PENERAPAN STRATEGI MARKETING DALAM MENINGKATKAN VOLUME PENJUALAN PADA TOKO SUMBER REZEKI JALAN KANGINAN KABUPATEN PAMEKASAN</t>
  </si>
  <si>
    <t>NISRIN FIRADISA</t>
  </si>
  <si>
    <t>Pengaruh Kualitas Pelayanan terhadap Kepuasan Nasabah di Bank Jatim Syariah Cabang Pembantu Sampang</t>
  </si>
  <si>
    <t>SITTI LAILATUL QOMARIYAH</t>
  </si>
  <si>
    <t>Suaidi, SHI, M.S.I</t>
  </si>
  <si>
    <t>Strategi Pemasaran Deposito Mudharabah Dalam Meningkatkan Minat Nasabah Di BPRS SPM Pamekasa</t>
  </si>
  <si>
    <t>FAIZATUL HASANAH</t>
  </si>
  <si>
    <t>Perilaku Nasabah Dalam Memilih Produk Gadai Emas Syariah Di BMT UGT Sidogiri Capem Tlanakan</t>
  </si>
  <si>
    <t>SINTA NURIYAH</t>
  </si>
  <si>
    <t>Strategi Komunikasi Pemasaran Dalam Mengembangkan Produk Tabungan Lembaga Peduli Siswa Di Bmt Ugt Sidogiri Capem Pagendingan</t>
  </si>
  <si>
    <t>MAUFIROH AMSURI</t>
  </si>
  <si>
    <t>Penerapan Strategi Komunikasi Bisnis Di Kspp. Syariah Baitul Maal Wat Tamwil (Bmt) Nu Jawa Timur Cabang Larangan</t>
  </si>
  <si>
    <t>IMAM BUSTOMI</t>
  </si>
  <si>
    <t>Persepsi Masyarakat Perkotaan Dan Pedesaan Terhadap Perbankan Syariah(Studi Di Kabupaten Sampang Madura Provinsi Jawa Timur)</t>
  </si>
  <si>
    <t>FEBRI TRI HANDAYANI</t>
  </si>
  <si>
    <t>Implementasi Good Corporate Governance melalui Internal Audit di BPRS SPM Pamekasan</t>
  </si>
  <si>
    <t>NUR HAYATI</t>
  </si>
  <si>
    <t>PENGARUH SIKAP, PERSEPSI DAN MOTIVASI KONSUMEN TERHADAP KEPUTUSAN PEMBELIAN DI TOKO TON YANK KECAMATAN LARANGAN KABUPATEN PAMEKASAN</t>
  </si>
  <si>
    <t>ACH. HAMDANI</t>
  </si>
  <si>
    <t>H. Wadhan, SE. M.SI</t>
  </si>
  <si>
    <t>Analisis Tingkat Kesehatan Bank Dengan Menggunakan Perhitungan Giro Wajib Minimum (Gwm) Di Bni Syariah Periode 2014-2018</t>
  </si>
  <si>
    <t>YUSNI BELLA MUFIDA</t>
  </si>
  <si>
    <t xml:space="preserve">Analisis Preferensi Nasabah dalam Memilih PT.
BPRS Bhakti Sumekar Kantor Cabang Pratama Gili
Genting
</t>
  </si>
  <si>
    <t>UNIMATUL AINIYAH</t>
  </si>
  <si>
    <t>Pengaruh Kualitas Produk Terhadap Keputusan Nasabah Memilih Produk Pembiayaan Gadai Emas/Rahn Di Bprs Bhakti Sumekar Cabang Ambunten</t>
  </si>
  <si>
    <t>CAHAYU DININGRAT</t>
  </si>
  <si>
    <t>Reza Mubarak, M.Si</t>
  </si>
  <si>
    <t>Pengaruh Quality Product, Price, And Brand Image Terhadap Keputusan Pembelian Produk Air Mineral Merk Flow Di Kelurahan Parteker</t>
  </si>
  <si>
    <t>RETNO TRIA PUJIANTI</t>
  </si>
  <si>
    <t>Pengaruh Return On Investment (Roi),Earning Per Share (Eps) Dan Deviden Per Share (Dps) Terhadap Harga Saham Pada Perusahaan Sektor Properti Di Indeks Saham Syariah Indonesia(Issi) Tahun 2016-2018</t>
  </si>
  <si>
    <t>MOHAMMAD FARHAN MAHFUD</t>
  </si>
  <si>
    <t>Pengaruh Atribut Produk Terhadap Loyalitas Nasabah (Studi Pada Pengguna Mobile BMT NU Cabang Kadur)</t>
  </si>
  <si>
    <t>LINDASARI</t>
  </si>
  <si>
    <t>Pengaruh Customer Relationship Management dan Kualitas pelayanan terhadap Kepuasan nasabah di BPRS Bhakti Sumekar KC Pamekasan.</t>
  </si>
  <si>
    <t>DEFI KARLINA ANDITA PUTRI</t>
  </si>
  <si>
    <t>Pengaruh Pengawasan Pimpinan Dan Nilai-Nilai Spiritual Terhadap Disiplin Kerja Karyawan Bmt Nu Se- Pamekasan</t>
  </si>
  <si>
    <t>ZASLIA TAHOR</t>
  </si>
  <si>
    <t>IMPLEMENTASI GOOD CORPORATE GOVERNANCE DALAM MENINGKATKAN PRODUKTIVITAS DAN PROFITABILITAS STUDI MAQASHID POLICY DI DIAMOND SALON AND SPA PAMEKASAN</t>
  </si>
  <si>
    <t>ITA SISNAWATI</t>
  </si>
  <si>
    <t>Implementasi Nilai-Nilai Dasar Ekonomi Islam Pada Penjualan Baju Di Pasar Tamberu Timur Kecamatan Sokobanah Kabupaten Sampang</t>
  </si>
  <si>
    <t>HENNI SRI WAHYUNI</t>
  </si>
  <si>
    <t>Penerapan Prinsip-Prinsip Syariah Pada Hotel Syariah Cahaya Berlian Pamekasan</t>
  </si>
  <si>
    <t>KHOIRUN NISAK</t>
  </si>
  <si>
    <t>Reza Mubarak, M.SI</t>
  </si>
  <si>
    <t>Analisis Peramalan Produksi Pakaian Pada Usaha Fadli Tailor Di Desa Buddagan Pamekasan</t>
  </si>
  <si>
    <t>AINUR ROFIQ</t>
  </si>
  <si>
    <t>ANALISIS KESEJAHTERAAN TENAGA KERJA PRODUKSI AYAM POTONG DALAM PERSPEKTIF EKONOMI ISLAM</t>
  </si>
  <si>
    <t>ACHMAD MUSLEH</t>
  </si>
  <si>
    <t>Pengaruh Antar Jemput Tabungan, Kualitas Pelayanan Dan Kepuasan Terhadap Loyalitas Nasabah Di KSPPS. BMT NU Jawa Timur Cabang Larangan</t>
  </si>
  <si>
    <t>LULUK FAIQOH</t>
  </si>
  <si>
    <t>Efektivitas Gaya Kepemimpinan Dalam Upaya Meningkatkan Kinerja Karyawan di KSPP Syari'ah BMT NU Cabang Lenteng Sumenep</t>
  </si>
  <si>
    <t>ANISATUL QOMARIYAH</t>
  </si>
  <si>
    <t>Strategi Personalia Dalam Meningkatkan Kualitas Sumber Daya Manusia Di PT Perak Polana Alomampa</t>
  </si>
  <si>
    <t>SITTI RUKMANA</t>
  </si>
  <si>
    <t>Upaya Pemasaran Dalam Meningkatkan Jumlah Anggota Pengguna Produk Tabungan Qurban Di Kspps Darul Hikmah Mitra Sejahtera Pamekasan</t>
  </si>
  <si>
    <t>KURROTUL AZIZAH</t>
  </si>
  <si>
    <t>Analisis Strategi Pemasaran Produk Tabungan Haji Dalam Meningkatkan Minat Anggota Menabung Di Bmt Nu Cabang Kadur</t>
  </si>
  <si>
    <t>ERNI DAMAYANTI</t>
  </si>
  <si>
    <t>Pengaruh Pelayanan Customer Service Terhadap
Kepuasan Nasabah Di BMT NU Cabang Kadur</t>
  </si>
  <si>
    <t>SITI AINUL KAROMAH</t>
  </si>
  <si>
    <t>Analisis Perilaku Produsen Terhadap Penetapan Harga Pada Home Industri Rengginang Cap Ikan Tongkol Di Desa Pragaan Laok</t>
  </si>
  <si>
    <t>NURHOLIS</t>
  </si>
  <si>
    <t>Penerapan Prinsip Produksi Umkm Batik Kholifah Di Dusun Batuampar Desa Toket Perspektif Ekonomi Islam</t>
  </si>
  <si>
    <t>AFNI NURIA I.M</t>
  </si>
  <si>
    <t>Pengaruh Equilibrium Dan Responsibility Dalam Etika Bisnis Islam Terhadap Loyalitas Pembeli Di Toko Mekar Jaya Bluto Sumenep</t>
  </si>
  <si>
    <t>UNSILATUR ROHMAH</t>
  </si>
  <si>
    <t>Sistem Pengupahan Tenaga Kerja UD. Sumber Rezeki Di Desa Pagendingan Kecamatan Galis Kabupaten Pamekasan Dalam Perspektif Ekonomi Islam</t>
  </si>
  <si>
    <t>AMINATUR RISKIYAH</t>
  </si>
  <si>
    <t>Pengaruh Modal Dan Tenaga Kerja Terhadap Produktivitas Usaha Rengginang Di Desa Prenduan Pragaan Sumenep</t>
  </si>
  <si>
    <t>LAILATUS SYARIFAH</t>
  </si>
  <si>
    <t>Pengaruh Transparancy dan Responbility Terhadap Minat Beli Konsumen Toko Keramik Pak Songot di Desa Larangan Badung Kecamatan Palengaan Kabupaten Pamekasan</t>
  </si>
  <si>
    <t>FIKRIADI</t>
  </si>
  <si>
    <t>Uly Mabrururoh Halida, SE,Sy., M.E</t>
  </si>
  <si>
    <t>Analisis Kualitas dan Desain Produk terhadap Loyalitas Konsumen Pada Meubel Jati Jaya di Desa Pamaroh Kecamatan Kadur Kabupaten Pamekasan</t>
  </si>
  <si>
    <t>MAIMUNA AYUSITA</t>
  </si>
  <si>
    <t>Praktek Pinjaman Tokeh Petani Garam Di Desa Pangarengan Kabupaten Sampang Persepektif Ekonomi Islam</t>
  </si>
  <si>
    <t>ARDI SUBEH</t>
  </si>
  <si>
    <t xml:space="preserve">SISTEM PENENTUAN HARGA JUAL KONTER ACCESORIS HANDPHONE DANI CELL DI JL SERSAN MESRUL KECAMATAN PAMEKASAAN KABUPATEN PAMEKASAN DALAM PERSPEKTIF EKONOMI ISLAM 
</t>
  </si>
  <si>
    <t>HALIMATUS SAKDIYAH</t>
  </si>
  <si>
    <t>PENGEMBANGAN USAHA EKONOMI KREATIF MELALUI INOVASI
PADA HOME INDUSTRI GERABAH DENGAN METODE ANALISIS SWOT DI DESA SUMEDANGAN KECAMATAN PADEMAWU KABUPATEN PAMEKASAN</t>
  </si>
  <si>
    <t>DANI DARMAWAN</t>
  </si>
  <si>
    <t>Kualitas Pelayanan Frontliner Dalam Upaya Peningkatan Loyalitas Nasabah Di Bmt Nu Cabang Pasean</t>
  </si>
  <si>
    <t>INDAH KURATUL AINI</t>
  </si>
  <si>
    <t>Pengaruh Leverage, Profitabilitas dan Pertumbuhan Perusahaan Terhadap Kebijakan Deviden Pada Perusahaan yang Terdaftar di JII</t>
  </si>
  <si>
    <t>MAULIDINA ALIFA</t>
  </si>
  <si>
    <t>Moh. Hamim Sultoni, M.AB</t>
  </si>
  <si>
    <t>Pengaruh Kualitas Jasa Dan Customer Value Terhadap Kepuasan Nasabah Tabungan Barokah Di Bprs Bhakti Sumekar Cabang Bandaran</t>
  </si>
  <si>
    <t>BAHRUD TAMAM</t>
  </si>
  <si>
    <t>STRATEGI BMT SIDOGIRI DALAM MEREDUKSI NASABAH WANPRESTASI (STUDI KASUS BMT SIDOGIRI CAPEM PAGENDINGAN)</t>
  </si>
  <si>
    <t>HISYAM AL QADRI</t>
  </si>
  <si>
    <t>Penerapan Strategi Marketing Pada Tabungan Wadiah Dalam Meningkatkan Jumlah Nasabah Di Bprs Spm (Sarana Prima Mandiri) Pamekasan</t>
  </si>
  <si>
    <t>ZAHRATUN NAIMAH</t>
  </si>
  <si>
    <t>Analisis Spiritual Qoutient Terhadap Ketahanan Usaha Peternak Ayam Petelur di Desa Montok Kecamatan Larangan Kabupaten Pamekasan</t>
  </si>
  <si>
    <t>MOH. SYARIFUDDIN</t>
  </si>
  <si>
    <t>Pengaruh Rekrutmen Dan Pelatihan Terhadap Kinerja Karyawan Kspps Bmt Nu Gapura Sumenep</t>
  </si>
  <si>
    <t>NOR HAYATI</t>
  </si>
  <si>
    <t>Implementasi Shiddiq Amanah Tabligh Dan Fathanah Pada Jual Beli Online Shop Di Toko Rpstore Pamekasan</t>
  </si>
  <si>
    <t>MOHAMMAD UMAM</t>
  </si>
  <si>
    <t>Penerapan Disiplin Kerja Perspektif Ekonomi Islam Di Rumah Makan Asela Kabupaten Sampang</t>
  </si>
  <si>
    <t>USWATUN HASANAH</t>
  </si>
  <si>
    <t>Manajemen Strategi Persaingan Bisnis Di Bmt Nu Cabang Pasean Pamekasan</t>
  </si>
  <si>
    <t>MOH DASUKI</t>
  </si>
  <si>
    <t>Implementasi strategi marketing pada tabungan tarbiyah di bmt ugt sidogiri capem pegantenan Pamekasan</t>
  </si>
  <si>
    <t>RITA SETIAWATI</t>
  </si>
  <si>
    <t>Pengaruh Karakteristik Perusahaan Terhadap Corporate Social Resposibility Disclousure Pada Perusahaan yang Terdaftar di JII</t>
  </si>
  <si>
    <t>FAHRUR ROZI</t>
  </si>
  <si>
    <t>Implementasi Segmenting, Targeting, Positioning, Produk Pembiayaan Modal Usaha Barokah (Mub) Di Bmt Ugt Sidogiri Capem Pegantenan</t>
  </si>
  <si>
    <t>SASMITA DWI PURNAMAWATI</t>
  </si>
  <si>
    <t>Analisis Perbandingan Kinerja Keuangan Bank Pembiayaan Rakyat Syariah (Bprs) Di Pamekasan Menggunakan Pendekatan Nilai Tambah Dan Laba Rugi Periode 2017-2019</t>
  </si>
  <si>
    <t>SITI HAFIFAH</t>
  </si>
  <si>
    <t>Analisis Kualitas Produk Tabah Dalam Upaya Meningkatkan Loyalitas Nasabah Di Bmt Nu Jawa Timur Cabang Tlanakan</t>
  </si>
  <si>
    <t>TRI RAYA ANGGRAINI</t>
  </si>
  <si>
    <t>Pengaruh Return On Investment, Economic Value Added Dan Market Value Added Terhadap Return Saham Dengan Nilai Perusahaan Sebagai Variabel Intervening Pada Perusahaan Sub Sektor Semen Yang Terdaftar Di Issi</t>
  </si>
  <si>
    <t>ACHMAD KAWAMIL</t>
  </si>
  <si>
    <t>PENYELESAIAN WANPRESTASI PADA AKAD IJARAH MUNTAHIYA BITTAMLIK PERTOKOAN PASAR ANOM DI BPRS BHAKTI SUMEKAR SUMENEP</t>
  </si>
  <si>
    <t>ISMIYAH</t>
  </si>
  <si>
    <t>Pengaruh Penerapan GCG (Good Corporate Governance) Dan Shariah Compliance Terhadap Kinerja Karyawan BPRS Sarana Prima Mandiri (SPM) Pamekasan</t>
  </si>
  <si>
    <t>DAVID WAHYUDI ISKANDAR</t>
  </si>
  <si>
    <t>PROMOSI PENJUALAN DALAM PERSPEKTIF EKONOMI ISLAM (STUDI KASUS PADA UD. MEUBEL ENAM ENAM JUNGCANGCANG PAMEKASAN)</t>
  </si>
  <si>
    <t>YULIANA</t>
  </si>
  <si>
    <t>Strategi Penanganan Pembiayaan Bermasalah Di Bmt Nu Jawa Timur Cabang Tlanakan</t>
  </si>
  <si>
    <t>IMAM GHAZALI</t>
  </si>
  <si>
    <t>ANALISIS STRATEGI PELAYANAN DALAM UPAYA MENINGKATKAN KEPUASAN ANGGOTA DI BMT NU CABANG CAMPLONG</t>
  </si>
  <si>
    <t>ZAINUL HOLIS</t>
  </si>
  <si>
    <t>Strategi Promosi dalam Meningkatkan Jumlah Anggota Produk Pembiayaan LASISMA di KSPPS BMT NU Cabang Manding Kabupaten Sumenep</t>
  </si>
  <si>
    <t>IRMA UTAMI</t>
  </si>
  <si>
    <t>Peran Media Sosial Sebagai Saluran Distribusi Produk Perikanan Perspektif Ekonomi Islam Di Desa Romben Guna Kecamatan Dungkek Kabupaten Sumenep</t>
  </si>
  <si>
    <t>SHOHIBUL ANSHORI</t>
  </si>
  <si>
    <t>Persepsi umkm terhadap sertifikasi halal 
Di kabupaten pamekasan</t>
  </si>
  <si>
    <t>MOH. KHOLID MAULIDI</t>
  </si>
  <si>
    <t>Peran Bank Sampah Dalam Pemberdayaan Ekonomi Umat Di Jl. Mandilaras Kelurahan Gladak Anyar Pamekasan.</t>
  </si>
  <si>
    <t>WASILAH</t>
  </si>
  <si>
    <t>Fena Ulfa Aulia, SE, M.Ak</t>
  </si>
  <si>
    <t>Pengaruh Firm Size, Asset Growth, dan Free Cash Flow Terhadap Dividend Payout Ratio di Perusahan Sektor Industri Barang Konsumsi yang Terdaftar di Indeks Saham Syariah Indonesia</t>
  </si>
  <si>
    <t>FITRIYATUL KAMILAH</t>
  </si>
  <si>
    <t>Penetapan Harga Jual Pada Riefa Collection Dalam Perspektif Ekonomi Islam</t>
  </si>
  <si>
    <t>AHMAD TAMYIZUL QASHASHIL ANSHORI</t>
  </si>
  <si>
    <t>PREFERENSI MASYARAKAT DALAM MELAKUKAN TRANSAKSI KEUANGAN DI MASA PANDEMI (STUDI KASUS WARGA PERUMAHAN ROYAL REGENCY 3 DI DESA BUDDAGAN KABUPATEN PAMEKASAN)</t>
  </si>
  <si>
    <t>HASAN BASRI</t>
  </si>
  <si>
    <t>Analisis Kinerja Keuangan Perusahaan Sebelum dan Sesudah Akuisisi Pada Perusahaan PT Indofood CBP Sukses Makmur Tbk Periode 2011-2019</t>
  </si>
  <si>
    <t>FAJARINA HAMID</t>
  </si>
  <si>
    <t>Strategi Pelayanan Prima Berdasarkan Konsep A3 (Attitude, Attention Dan Action) Sebagai Upaya Dalam Peningkatan Loyalitas Nasabah Di PT. BPRS Sarana Prima Mandiri Pamekasan</t>
  </si>
  <si>
    <t>FARIDA A</t>
  </si>
  <si>
    <t>Pengaruh Kompensasi Terhadap Kinerja Karyawan Pada BPRS Bhakti Sumekar Pamekasan</t>
  </si>
  <si>
    <t>ELYA SHOVA VIRGA</t>
  </si>
  <si>
    <t>Pengaruh Kualitas Pelayanan Customer Service Terhadap Loyalitas Nasabah BPRS SPM Pamekasan</t>
  </si>
  <si>
    <t>ARDI WIRANATA</t>
  </si>
  <si>
    <t>Analisis kepatuhan wajib pajak pada usaha kecil menengah (UKM) makanan di kabupaten pamekasan</t>
  </si>
  <si>
    <t>ANISA AYU PUTRI</t>
  </si>
  <si>
    <t>Pengaruh Kualitas Layanan ATM Cardless Terhadap Loyalitas Melalui Kepuasan Pada Nasabah Sebagai Variabel Intervening di BPRS Bhakti Sumekar Sumenep</t>
  </si>
  <si>
    <t>TAUFIQAH HALILATUR ROHMAH</t>
  </si>
  <si>
    <t>Ah. Shibghatullah Mujaddidi, MEI</t>
  </si>
  <si>
    <t>Analisis Harga Dan Kualitas Terhadap Keputusan Pembelian Produk Muslim Fashion Di El-Zatta Pamekasan Dalam Perspektif Ekonomi Islam</t>
  </si>
  <si>
    <t>FINARSIH</t>
  </si>
  <si>
    <t>Pengaruh Pemberian Hadiah Terhadap Minat ( Study Kasus Pada Pemberian Hadiah Pada Nasabah Rahn Di BPRS Sarana Prima Mandiri Pamekasn )</t>
  </si>
  <si>
    <t>Pengaruh Kualitas Pelayanan Customer Service Terhadap Loyalitas Nasabah Bprs Spm Pamekasan</t>
  </si>
  <si>
    <t>MOH IMRON</t>
  </si>
  <si>
    <t>Tinjauan Ekonomi Islam Terhadap Pengupahan Karyawan Pada Konveksi RJK Desa Nyalabu Laok Kabupaten Pamekasan</t>
  </si>
  <si>
    <t>YULIANA PUTRI</t>
  </si>
  <si>
    <t>Pengaruh Corporate Social Responbility (Csr), Leverage, Dan Firm Size Terhadap Earning Response Coefficient (Erc) Pada Perusahaan Manufaktur Sub Sektor Industri Barang Konsumsi Yang Terdaftar Di Daftar Efek Syariah(Des) Periode 2018-2019</t>
  </si>
  <si>
    <t>ROMSIATUL IZZAH</t>
  </si>
  <si>
    <t>Pengaruh Kualitas Pelayanan terhadap Kepuasan Nasabah KSPPS. BMT NU Cabang Ganding</t>
  </si>
  <si>
    <t>FAHRUL SUPRIADI</t>
  </si>
  <si>
    <t>KONDISI TINGKAT PENDAPATAN DAN GAYA HIDUP MASYARAKAT NELAYAN DI DESA DHARMA TANJUNG KECAMATAN CAMPLONG KABUPATEN SAMPANG</t>
  </si>
  <si>
    <t>FAIRUZ SYAVIA</t>
  </si>
  <si>
    <t>Ach. Baiquni, M.Ag</t>
  </si>
  <si>
    <t>IMPLIKASI PENDIDIKAN, PELATIHAN DAN KEPRIBADIAN TERHADAP KINERJA KARYAWAN PT. BPRS SARANA PRIMA MANDIRI PAMEKASAN</t>
  </si>
  <si>
    <t>VIRA FIRDAUS</t>
  </si>
  <si>
    <t>Strategi Marketing Dalam Meningkatkan Minat Nasabah Pada Tabungan Sahara Di Kspps Bmt Nu Cabang Proppo</t>
  </si>
  <si>
    <t>ASRIYATUL JENNAH</t>
  </si>
  <si>
    <t>Strategi Personal Selling Dalam Meningkatkan Jumlah Anggota Pada Produk Simpanan Lebaran (Sabar) Di Kspps Bmt Nu Cabang Kadur Pamekasan</t>
  </si>
  <si>
    <t>ALFIAN FEBRIYANTO</t>
  </si>
  <si>
    <t>Pengaruh Rekrutmen, Seleksi dan Motivasi Kerja Terhadap Kinerja Karyawan PT. BPRS Sarana Prima Mandiri Pamekasan</t>
  </si>
  <si>
    <t>MOH. ZAINI</t>
  </si>
  <si>
    <t>Pendapatan Yang Berpotensi Zakat (Studi Kasus Di Desa Montok Dusun Talang Kecamatan Larangan Kabupaten Pamekasan</t>
  </si>
  <si>
    <t>FAJAR RIYADI</t>
  </si>
  <si>
    <t>Pengaruh Modal Sosial Pada Masyarakat Nelayan Dalam Meningkatkan Perekonomian Keluarga Di Desa Kaduara Barat Pamekasan</t>
  </si>
  <si>
    <t>MUHAMMAD HARYONO PURNAMA PUTRA</t>
  </si>
  <si>
    <t>Pengaruh Pembiayaan Murabahah Terhadap Pendapatan Di Bank Pembiayaan Rakyat Syariah Sarana Prima Mandiri Pamekasan</t>
  </si>
  <si>
    <t>NOVITA FIJRIYAH</t>
  </si>
  <si>
    <t>Pengaruh Financial Distress, Leverage dan Struktur Kepemilikan Manajerial Terhadap Konservatisme Akuntansi Perusahaan Jasa yang Terdaftar Di ISSI</t>
  </si>
  <si>
    <t>MASRIFAH</t>
  </si>
  <si>
    <t>Peran Kaum Istri Dalam Meningkatkan Perekonomian Keluarga Perspektif Islam (Study Kasus Pedagang Sayur Di Pasar Palengaan Pamekasan)</t>
  </si>
  <si>
    <t>MOH ERVANI AL FAJRI AZ</t>
  </si>
  <si>
    <t>Implementasi Strategi Promosi Produk Tabungan Lembaga Peduli Siswa Pada BMT UGT Sidogiri Cabang Pamekasan</t>
  </si>
  <si>
    <t>YAZID SHAFLY RAHMAN</t>
  </si>
  <si>
    <t>Analisis Implementasi Nilai Etika Bisnis Islam Pada Hotel Madinah Pamekasan</t>
  </si>
  <si>
    <t>MUHAMMAD ISBAD ADDAINURI</t>
  </si>
  <si>
    <t>Pengaruh Islamic Corporate Social Responsibility (ICSR) Terhadap Reputasi Usaha Dagang Al-Maghfirah di Desa Larangan Badung Pamekasan</t>
  </si>
  <si>
    <t>DWI FITRIYANTI</t>
  </si>
  <si>
    <t>Peran Women Preneur Dalam Perspektif Islam Guna Meningkatkan Perekonomian Keluarga Di Perumahan Sentol Regency Kec. Pademawu Kab. Pamekasan
( Study Kasus Kerupuk Rajungan Ibu Sunarsih )</t>
  </si>
  <si>
    <t>FALIHAH</t>
  </si>
  <si>
    <t>Kondisi Lingkungan Kerja Dalam Peningkatan Kinerja Karyawan Di Kspps Bmt Nu Cabang Kadur Kabupaten Pamekasan</t>
  </si>
  <si>
    <t>YAYUK TRI WAHYUNI</t>
  </si>
  <si>
    <t>Pengaruh Profitabilitas, Investment Opportunity Set, dan Sales Growth Terhadap Nilai Perusahaan Sektor Property dan Real Estate yang Terdaftar Di ISSI Periode 2017-2019</t>
  </si>
  <si>
    <t>SLAMET ANSORY</t>
  </si>
  <si>
    <t>Strategi Pemasaran Islami Dalam Meningkatkan Daya Tarik Konsumen (Studi Pada Usaha Beras Di Kertagena Laok Kadur Pamekasan)</t>
  </si>
  <si>
    <t>ACH. FATONI</t>
  </si>
  <si>
    <t>Analisis Brand Equity Rumah Makan Asela Dalam Perspektif Etika Bisnis Islam</t>
  </si>
  <si>
    <t>SAFRAUL KHAIRUL ANAM</t>
  </si>
  <si>
    <t>Strategi Pemasaran Dalam Meningkatkan Jumlah Nasabah Produk Simpanan Lebaran di BMT NU Jawa Timur Cabang Pakong Pamekasan</t>
  </si>
  <si>
    <t>FAIRUL AMIR</t>
  </si>
  <si>
    <t>Analisis Job Description pada koperasi simpan pinjam syariah (KSPS) BMT Muhtadin grujugan pamekasan</t>
  </si>
  <si>
    <t>RAHMA PURWATI</t>
  </si>
  <si>
    <t>Strategi Pemasaran Pembiayaan Ijarah Di Kspps Btm Sang Surya Pamekasan</t>
  </si>
  <si>
    <t>HERMANSAH</t>
  </si>
  <si>
    <t>Penerapan Prinsip Analisa Pembiyaan Murabahah Khusus Di Bmt Ugt Sidogiri Cabang Pamekasan</t>
  </si>
  <si>
    <t>JAMAL KURNIAWAN</t>
  </si>
  <si>
    <t>Strategi Pemasaran Tabungan Sidik Fathonah Di Bmt Nu Cab Larangan Pamekasan</t>
  </si>
  <si>
    <t>FERRY KHOIRUL NIZAM</t>
  </si>
  <si>
    <t>ANALISIS KUALITAS PELAYANAN DALAM MENINGKATKAN LOYALITAS NASABAH (STUDI KASUS PADA BMT NU JAWA TIMUR CABANG PROPPO PAMEKASAN)</t>
  </si>
  <si>
    <t>ANALISIS BRAND EQUITY RUMAH MAKAN ASELA DALAM PERSPEKTIF ETIKA BISNIS ISLAM</t>
  </si>
  <si>
    <t>ANANAG ZAINAL FANANI</t>
  </si>
  <si>
    <t>Pengaruh Kualitas Jasa Pelayanan Terhadap Kepuasan Anggota di BMT NU Cabang Larangan Pamekasa</t>
  </si>
  <si>
    <t>MOH. FARED</t>
  </si>
  <si>
    <t>ETOS KERJA PETANI PADI DESA LEMPER KECAMATAN PADEMAWU KABUPATEN PAMEKASAN DALAM PERSPEKTIF EKONOMI ISLAM</t>
  </si>
  <si>
    <t>ADI CANDRA WIJANARKO</t>
  </si>
  <si>
    <t>Peran Financial Technology Dalam Meningkatkan Profitabilitas Di BMT UGT Sidogiri Cabang Pamekasan</t>
  </si>
  <si>
    <t>DIDIK ARISKI</t>
  </si>
  <si>
    <t>Pengaruh Kepercayaan Dan Kepuasan Layanan Terhadap Loyalitas Anggota Di BMT UGT Sidogiri Cabang Pamekasan</t>
  </si>
  <si>
    <t>HARYANTI MAULINA NERAWATI</t>
  </si>
  <si>
    <t>Uly Mabruroh Halida, SE,Sy., M.E</t>
  </si>
  <si>
    <t>Implikasi Pemberian Insentif, Pelatihan, Dan Disiplin Kerja Terhadap Kinerja Karyawan PT BPRS Sarana Prima Mandiri</t>
  </si>
  <si>
    <t>MASIDATUL ILMIYAH</t>
  </si>
  <si>
    <t>Pengaruh Pelatihan, Kompetensi dan Tunjangan terhadap Kinerja Karyawan PT. BPRS Bakti Artha Sejahtera Sampang</t>
  </si>
  <si>
    <t>YULIATIN</t>
  </si>
  <si>
    <t>Pengaruh Komunikasi dan Motivasi Terhadap Kinerja Karyawan BMT NU Jatim Se Kabupaten Pamekasan</t>
  </si>
  <si>
    <t>IFAFU SHADRINI</t>
  </si>
  <si>
    <t>Analisis Strategi Bersaing dalam Pengembangan Produk Rengginang (Studi Kasus Home Industri Rengginang Cap Dua Jempol di Desa Prenduan Kecamatan Pragaan Kabupaten Sumenep)</t>
  </si>
  <si>
    <t>YULITA DWI MAULIDAYANTI</t>
  </si>
  <si>
    <t>Pengaruh Modal Sosial Terhadap Eksistensi Pasar Tradisional Kolpajung Pamekasan</t>
  </si>
  <si>
    <t>HOLYSOTUN HASANAH</t>
  </si>
  <si>
    <t>Penyelesaian Pembiayaan Lasisma Bermasalah Dengan Restrukturisasi Di KSPP. Syariah BMT NU Jawa Timur Cabang Larangan</t>
  </si>
  <si>
    <t>SELAWATI SAFITRI</t>
  </si>
  <si>
    <t>Pendistribusian Dana Zakat Produktif Dalam Upaya Meningkatkan Pendapatan Mustahiq Di Baznas Kabupaten Sampang</t>
  </si>
  <si>
    <t>Penyelesaian Pembiayaan Lasisma Bermasalah Dengan Restrukturisasi Di KSPP.Syariah BMT NU Jawa Timur Cabang Larangan</t>
  </si>
  <si>
    <t>CHOIRUN NISAK</t>
  </si>
  <si>
    <t>Analisis SWOT pada Implementasi Financial Technology
dalam Pengembangan Usaha Batik Tulis “Alshidan Batik” di Kelurahan Kowel 
Kecamatan Pamekasan Kabupaten Pamekasan</t>
  </si>
  <si>
    <t>PURWANTO SUDIBYO</t>
  </si>
  <si>
    <t>Analisis Penilaian Karakter Nasabah dalam Pembiayaan Pembelian Kendaraan Bermotor di BPRS SPM Pamekasan</t>
  </si>
  <si>
    <t>FADJRIYATI WAHYUNI AGUSTIN</t>
  </si>
  <si>
    <t>Strategi Pengembangan Pasar Pada Depo Tirta Mulya Di Dusun Dharma Pademawu Barat Pamekasan Guna Meningkatkan Market Share Perspektif Ekonomi Islam</t>
  </si>
  <si>
    <t>ROBIATUL ADAWIYAH</t>
  </si>
  <si>
    <t>Strategi Kepemimpinan Dalam Upaya Meningkatkan Kinerja Karyawan di Koperasi Syariah Walisongo Karang Penang Oloh Sampang</t>
  </si>
  <si>
    <t>SITI ROQOYYAH</t>
  </si>
  <si>
    <t>Strategi Pengembangan Usaha UD. Tempe Pak Heri di Desa Barurambat Kota Kecamatan Pamekasan Kabupaten Pamekasan Perspektif Ekonomi Islam</t>
  </si>
  <si>
    <t>FIRDAUZI</t>
  </si>
  <si>
    <t>Analisis Segmentasi Pasar Dalam Meningkatkan Jumlah Anggota Produk Simpanan Pendidikan Di Koperasi Syari'ah Nuri Cabang Pamekasan</t>
  </si>
  <si>
    <t>ZASKIA RIMADHANTI ARIFIN</t>
  </si>
  <si>
    <t>Pengaruh Islamic Personality dan Quality of Work Life Terhadap Komitmen Organisasi Karyawan BPRS Sarana Prima Mandiri (SPM) Pamekasan</t>
  </si>
  <si>
    <t>KHOMSIYAH</t>
  </si>
  <si>
    <t>Strategi Penetapan Harga Dalam Upaya Meningkatkan Penjualan Material Bangunan &amp; Elektronik Perspektif Ekonomi Islam (Studi Kasus pada UD. Aulia Jaya di Pamaroh Kec. Kadur Kab. Pamekasan)</t>
  </si>
  <si>
    <t>LAILATUL QOMARIYAH</t>
  </si>
  <si>
    <t>Pengaruh Pengetahuan dan Budaya Terhadap Minat Menabung di Lembaga Keuangan Syariah (Studi Kasus Santri Pondok Pesantren Nurul Huda Pragaan Sumenep)</t>
  </si>
  <si>
    <t>SUSANTI APRILIANA</t>
  </si>
  <si>
    <t>Pengaruh Kualitas Pelayanan, Kualitas Produk Dan Harga Terhadap Kepuasan Konsumen Di Toko Domini Donuts Kabupaten Pamekasan</t>
  </si>
  <si>
    <t>LAYYINAH</t>
  </si>
  <si>
    <t>Pengelolaan Anyaman Bambu Dari Segi Ekonomi Kreatif Berbasis syariah di Kecamatan Lenteng Kabupaten Sumenep</t>
  </si>
  <si>
    <t>TAIFUR ROHMANU</t>
  </si>
  <si>
    <t>Peran Pembiayaan Umkm Bank Bprs Bhakti Sumekar Sumenep Dalam Mengembangkan Usaha Mikro (Studi Kasus Di Pasar Legung Sumenep)</t>
  </si>
  <si>
    <t>LU'LUAH</t>
  </si>
  <si>
    <t>PENGARUH AKAD DAN MODAL SOSIAL TERHADAP KEUNTUNGAN PETAMBAK UDANG VANEMA DI DESA JUBENGER KECAMATAN SAMPANG</t>
  </si>
  <si>
    <t>DESY KAMILIA INDRIANA</t>
  </si>
  <si>
    <t>Implikasi Pengetahuan Ekonomi Islam Terhadap Minat Bertransaksi Di BRIsyariah (Studi Kasus Mahasiswa FEBI IAIN MADURA)</t>
  </si>
  <si>
    <t>ABDUL WAFI</t>
  </si>
  <si>
    <t>Implementasi Transaksi Kerja Sama Dalam Pengelolaan Tanah Produktif (Tana Paron) Pada Masyarakat Petani Dalam Perspektif Ekonomi Islam (Studi Kasus Desa Pakong Kecamatan Pakong Kabupaten Pamekasan)</t>
  </si>
  <si>
    <t>AMIRUL RIJALUR RAHMAN</t>
  </si>
  <si>
    <t>PERAN BMT NU CABANG TLANAKAN DALAM MENINGKATKAN KESEJAHTERAAN NELAYAN DI DESA BRANTA PESISIR PAMEKASAN</t>
  </si>
  <si>
    <t>FITRIYATUL HOLILAH</t>
  </si>
  <si>
    <t>Implementasi Pemberian Pembiayaan Lasisma (Layanan Berbasis Jamaah) Dalam Meningkatkan Profitabilitas Di Koperasi Simpan Pinjam Pembiayaan Syariah (KSPPS) BMT NU Cabang Galis Pamekasan</t>
  </si>
  <si>
    <t>DEWI ZULVIA AFQONI</t>
  </si>
  <si>
    <t>Pengaruh Layanan M-Banking Terhadap Kepuasan Nasabah KSPPS Nuri Jatim Kantor Cabang Palduding Pamekasan</t>
  </si>
  <si>
    <t>ZAINUL AMIN</t>
  </si>
  <si>
    <t>Pengaruh Procurement Terhadap Kinerja Karyawan di Seluruh Jaringan Kantor KSPPS Nuri Jatim</t>
  </si>
  <si>
    <t>ANNISA OKTAPIA</t>
  </si>
  <si>
    <t>Penerapan Aplikasi Si Apik Sebagai Penunjang Pencatatan Laporan Keuangan pada Usaha Mikro Kecil dan Menengah Kopi Mangrove di Desa Lembung Kecamatan Galis Kabupaten Pamekasan</t>
  </si>
  <si>
    <t>NORHIDAYAT</t>
  </si>
  <si>
    <t>Strategi Kepemimpinan Dalam Upaya Meningkatkan Prestasi Kerja Karyawan BMT NU Cabang Larangan Pamekasan</t>
  </si>
  <si>
    <t>ZAHROTUL JAMILAH</t>
  </si>
  <si>
    <t>Pengaruh Marketing Mix (7P) Terhadap Minat Masyarakat Menggunakan Produk Tabungan Emas Di PT. Pegadaian Syariah Cabang Prenduan</t>
  </si>
  <si>
    <t>ROBI AMIRULLAH</t>
  </si>
  <si>
    <t>ANALISIS MODAL SOSIAL DALAM PEMBERDAYAAN USAHA AISYAH BATIK ECOPRINT MUALLAF BINAAN MCI PAMEKASAN</t>
  </si>
  <si>
    <t>SITI AISYAH</t>
  </si>
  <si>
    <t>Analisis Konsep Akad Jual Beli Dalam Perspektif Muamalah (Studi Kasus Pada PT. Sae Nuri Distribusi Indonesia)</t>
  </si>
  <si>
    <t>AGUS SUTRISNO</t>
  </si>
  <si>
    <t>STRATEGI PENINGKATAN KUALITAS LAYANAN DALAM PERSAINGAN BISNIS DI KOPERASI PONDOK PESANTREN ANEKA USAHA MAMBAUL ULUM BATA-BATA PAMEKASAN</t>
  </si>
  <si>
    <t>ROSALINA YESSYCA</t>
  </si>
  <si>
    <t>Pengaruh Employee Stock Ownership Program, Total Asset Turnover Dan Leverage Terhadap Return On Asset Pada Perusahaan Yang Terdaftar Di Bursa Efek Indonesia</t>
  </si>
  <si>
    <t>NOER AZMI SOVIATURRINI</t>
  </si>
  <si>
    <t>Pengaruh Self Efficacy Dan Locus Of Control Terhadap Kinerja Karyawan BPRS Sarana Prima Mandiri (SPM) Pamekasan</t>
  </si>
  <si>
    <t>SITI NABILAH</t>
  </si>
  <si>
    <t>Pola Rekrutment Karyawab Swalayan Nurma Jaya Dalam Perspektif Manajemen Sumber Daya Insani</t>
  </si>
  <si>
    <t>DEWI RUFAIDAH</t>
  </si>
  <si>
    <t>Pengaruh Label Halal, Kualitas Produk Dan Harga Terhadap Keputusan Pembelian Produk Kosmetik Wardah (Studi Pada Mahasiswi Ekonomi Syariah Angkatan 2017-2019 IAIN Madura)</t>
  </si>
  <si>
    <t>MOH. TIJANI ABD MAJID</t>
  </si>
  <si>
    <t>ANALISIS PROSEDUR PEMBIAYAAN MURABAHAH DI KOPERASI SYARIAH NURI JAWA TIMUR CABANG PEGANTENAN KABUPATEN PAMEKASAN</t>
  </si>
  <si>
    <t>FARIDATUL HASANAH</t>
  </si>
  <si>
    <t>Strategi Pengembangan Produk Tabah Dalam Meningkatkan Keunggulan Bersaing Di Baitul Maal Wat (Bmt) Nu Cabang Pakong</t>
  </si>
  <si>
    <t>Strategi Pengembangan Produk TABAH dalam Meningkatkan Keunggulan Bersaing di BMT NU Cabang Pakong</t>
  </si>
  <si>
    <t>NOFAL HAKIKI</t>
  </si>
  <si>
    <t>Penerapan Etos Kerja Islami Pada Karyawan Kspps Darul Hikmah Mitra Sejahtera Larangan Badung Pamekasan</t>
  </si>
  <si>
    <t>IDQON HADI</t>
  </si>
  <si>
    <t>Analisis Persaingan Usaha Mebel Dalam Perspektif Etika Bisnis Islam Disentra Ukir Desa Karduluk Kecamatan Pragaan Kabupaten Sumenep</t>
  </si>
  <si>
    <t>Ira Hasti Priyadi, MA</t>
  </si>
  <si>
    <t>Pemberdayaan Ekonomi Perempuan Melalui Mentoring dan Pengembangan Bisnis (Studi Kasus Kelompok Usaha Putih Melati di Desa Ketwang Karay Kecamatan Ganding Kabupaten Sumenep</t>
  </si>
  <si>
    <t>MILLA MAULIDIYAH</t>
  </si>
  <si>
    <t>Pengaruh Pemecahan Saham (StockSplit) dan Karakteristik Perusahaan Terhadap Return Saham Pada Perusahaan yang Terdaftar di Indeks Saham Syariah Indonesia (ISSI)</t>
  </si>
  <si>
    <t>SITI NUR KHALIFA</t>
  </si>
  <si>
    <t>Analisis Tata Kelola Usaha Jasa Air Bersih Dalam Meningkatkan Pendapatan BUMDES Yanfa'u Linmas Perspektif Ekonomi Islam</t>
  </si>
  <si>
    <t>ARINI FATHANIYAH</t>
  </si>
  <si>
    <t>Peran 'Urf dalam Kerjasama Lahan Pertanian (Paron) Perespektif Ekonomi Islam di Desa Bluto Kabupaten Sumenep</t>
  </si>
  <si>
    <t>DIANA</t>
  </si>
  <si>
    <t>Strategi Pemasaran Drw Skincare Sebagai Upaya Peningkatan Penjualan Kosmetik Dalam Perspektif Ekonomi Islam di Desa Tamberu Kabupaten Sampang</t>
  </si>
  <si>
    <t>SUSYANTI</t>
  </si>
  <si>
    <t>Analisis Strategi Marketing Syari'ah Dalam Menghadapi Persaingan Bisnis Pada Toko Zoya Pamekasan</t>
  </si>
  <si>
    <t>ANISAH FITRI</t>
  </si>
  <si>
    <t>Penggunaan Promosi Media Sosial Dalam Upaya Meningkatkan Penjualan Batik Pada Rumah Batik MJ Di Desa Toronan</t>
  </si>
  <si>
    <t>NOR ROSAINDAH RAHMAN</t>
  </si>
  <si>
    <t>PENGARUH KARAKTERISTIK PERUSAHAAN TERHADAP PERATAAN LABA PADA PERUSAHAAN PT RELIANCE SEKURITAS INDONESIA PADA TAHUN 2006-2019</t>
  </si>
  <si>
    <t>WINDYANTIKA R</t>
  </si>
  <si>
    <t>Pengaruh Profitabilitas dan Ukuran Perusahaan Terhadap Kebijakan Deviden Pada Perusahaan yang Terdaftar di Indeks LQ45 Periode 2017-2019</t>
  </si>
  <si>
    <t>DWI FRI WULANDARI</t>
  </si>
  <si>
    <t>PENGARUH KEMANDIRIAN PRIBADI, MOTIVASI, DAN PENGETAHUAN KEWIRAUSAHAAN TERHADAP MINAT BERWIRAUSAHA PADA MAHASISWA FAKULTAS EKONOMI DAN BISNIS ISLAM IAIN MADURA</t>
  </si>
  <si>
    <t>ELSA NINTIAS AGUSTINA H</t>
  </si>
  <si>
    <t>Mitigasi Risiko Pembiayaan Murabahah Melalui Asuransi di BPRS Sarana Prima Mandiri Pamekasan</t>
  </si>
  <si>
    <t>DIANATUS SHOLEHAH</t>
  </si>
  <si>
    <t>Implementasi Good Corporate Governance (GCG) Pada BUMDes Dalam Peningkatan Ekonomi Masyarakat Di Desa Waru Barat Kabupaten Pamekasan</t>
  </si>
  <si>
    <t>MOH. ROVIQI</t>
  </si>
  <si>
    <t>Pengembangan Ekonomi Masyarakat Melalui Badan Usaha Milik Desa (BUMDES) Dalam Perspektif Ekonomi Islam Di Desa Pagendingan Kecamatan Galis Kabupaten Pamekasan</t>
  </si>
  <si>
    <t>ACH. AFIFUL KHOIR</t>
  </si>
  <si>
    <t>EFEKTIFITAS PROGRAM KELUARGA HARAPAN (PKH) DALAM MENINGKATKAN KESEJAHTERAAN MASYARAKAT DI DESA BATANG-BATANG LAOK DALAM PERSPEKTIF EKONOMI ISLAM</t>
  </si>
  <si>
    <t>ACHMAD FAISOL</t>
  </si>
  <si>
    <t>STRATEGI PEMASARAN ALIF COMPUTER DALAM MENINGKATKAN DAYA TARIK KONSUMEN DI JL RAYA PANGLEGUR KM 04 PAMEKASAN</t>
  </si>
  <si>
    <t>SHOFA MERIANA JUHARI</t>
  </si>
  <si>
    <t>STRATEGI PEMASARAN FUNDING OFFICER DALAM MENINGKATKAN MINAT NASABAH DEPOSITO MUDHARABAH DI PT BPRS BHAKTI SUMEKAR CABANG MADYA PAMEKASAN</t>
  </si>
  <si>
    <t>SITI JAMILAH</t>
  </si>
  <si>
    <t>Dampak Wisata Ekonomi Brukoh Terhadap Perkembangan Ekonomi Masyarakat Sekitar Menurut Perspektif Ekonomi Islam</t>
  </si>
  <si>
    <t>AKHSAN BARORI</t>
  </si>
  <si>
    <t>Ah. Shibghatullah Mujaddidi, M.A</t>
  </si>
  <si>
    <t>PENGARUH LINGKUNGAN KERJA, BUDAYA ORGANISASI, DAN KOMPENSASI TERHADAP KINERJA KARYAWAN (STUDI KARYAWAN DI JARINGAN KANTOR BMT UGT SIDOGIRI DI WILAYAH PAMEKASAN)</t>
  </si>
  <si>
    <t>MUJIBUR RAHMAN</t>
  </si>
  <si>
    <t>Persepsi Pelaku Usaha Mikro Kecil dan Menengah (UMKM) Tentang Pembiayaan Mudharabah. (Studi Kasus Usaha Mikro Kecil dan Menengah di Pasar Kolpajung Pamekasan)</t>
  </si>
  <si>
    <t>ARIFA HIDAYATUN NAJAH</t>
  </si>
  <si>
    <t>Akuntabilitas Pengelolaan Dana Desa Dalam Meningkatkan Pembangunan Desa Pada Desa Pabian</t>
  </si>
  <si>
    <t>HAMDAN SIRAT</t>
  </si>
  <si>
    <t>H. Wadhan, SE. M.Si</t>
  </si>
  <si>
    <t>PENGARUH STRUKTUR MODAL, LIKUIDITAS DAN PROFITABILITAS TERHADAP NILAI PERUSAHAAN DENGAN UKURAN PERUSAHAAN SEBAGAI VARIABEL MODERASI PADA PERUSAHAAN SEKTOR INDUSTRI DASAR DAN KIMIA YANG TERDAFTAR DI DAFTAR EFEK SYARIAH</t>
  </si>
  <si>
    <t>YUNI ALISANTI</t>
  </si>
  <si>
    <t>Analisis Metode Pengakuan Pendapatan dan Beban Berdasarkan SAK ETAP Dalam Penentuan Jumlah SHU Pada KPRI Mataram Pademawu</t>
  </si>
  <si>
    <t>HOYYIFAH</t>
  </si>
  <si>
    <t>Peran Tenaga Kerja Wanita Dalam Meningkatkan Kesejahteraan Keluarga Di Desa Bujur Barat Kecamatan Batumarmar Kabupaten Pamekasan</t>
  </si>
  <si>
    <t>FADIA ALIFA RISKIAH</t>
  </si>
  <si>
    <t>Pengaruh Capital Structure dan Sales Growth Terhadap Firm Value Dengan Profitabilitas Sebagai Variabel Intervening Pada Perusahaan Yang Terdaftar Dalam Indeks LQ45</t>
  </si>
  <si>
    <t>SULISTIYANI</t>
  </si>
  <si>
    <t>Mekanisme Qardh Pada Material Bangunan Rumah Di Desa Paleran Kecamatan Umbulsari Kabupaten Jember Dalam Perspektif Ekonomi Islam</t>
  </si>
  <si>
    <t>YOGA FARID PRIATAMA</t>
  </si>
  <si>
    <t>Model Pemberdayaan Masyarakat Padelegan Melalui Usaha Ikan Teri (Studi Kasus UD. Soltok Di Desa Padelegan Kecamatan Pademawu)</t>
  </si>
  <si>
    <t>Mitigasi Risiko Pembiayaan Murabahah Melalui Asuransi Di BPRS Sarana Prima Mandiri Pamekasan</t>
  </si>
  <si>
    <t>HENI SUNAIRA</t>
  </si>
  <si>
    <t>Implikasi Inflasi, BI 7-Day (Reverse Repo Rate) Dan Nilai Tukar Terhadap Pembiayaan Bermasalah Di Bank Umum Syariah Tahun 2017-2019</t>
  </si>
  <si>
    <t>MOH ALFIN ARRIZKI</t>
  </si>
  <si>
    <t>Pengaruh Aset Tangibility, Aset Turnover, Growth Of Sales dan Growth Opportunity Terhadap Struktur Modal Perusahaan Unilever Indonesia</t>
  </si>
  <si>
    <t>MEISITA NURHADI</t>
  </si>
  <si>
    <t>Pengaruh Layanan Mobile Banking Terhadap Kepuasan Nasabah Bank BRI Syariah KCP Pamekasan (Studi Kasus Mahasiswa Fakultas Ekonomi dan Bisnis Islam IAIN madura)</t>
  </si>
  <si>
    <t>NURCAHYA FEBRIYANTI SAPUTRO</t>
  </si>
  <si>
    <t>Analisis Pengaruh Kualitas Layanan dan Corporate Image Terhadap Loyalitas Nasabah Pada Bank Syariah Melalui Kepuasan Nasabah Sebagai Variabel Intervening (Pada Bank BRISyariah KCP Pamekasan)</t>
  </si>
  <si>
    <t>SITI NUR AIDIFATUL RUSADY</t>
  </si>
  <si>
    <t>Penerapan Pendapatan Asli Desa (PADes), Dana Desa (DD), Dan Alokasi Dana Desa (ADD) Dalam Meningkatkan Belanja Desa Lemper Kecamatan Pademawu Kabupaten Pamekasan.</t>
  </si>
  <si>
    <t>Implikasi Inflasi, BI-7 Day (Reverse) Repo Rate Dan Nilai Tukar Terhadap Bank Umum Syariah Tahun 2017-2019</t>
  </si>
  <si>
    <t>AHMAD FAUSI HUMADI</t>
  </si>
  <si>
    <t>Pengaruh Current Ratio, Total Aset Turnover, Working Capital Turn Over, Debt To Equity Ratio, Terhadap Profitabilitas Pada Sub Sektor Property &amp; Real Estate Yang Terdaftar Di Bursa Efek Indonesia Tahun 2017-2019</t>
  </si>
  <si>
    <t>HUSNUL HOTIMAH</t>
  </si>
  <si>
    <t>Pengaruh Konflik Kerja dan Motivasi Kerja Terhadap Etos Kerja Karyawan PT. Marinal Indoprima Di Desa Kapedi Kecamatan Bluto Kabupaten Sumenep</t>
  </si>
  <si>
    <t>MOHAMMAD ZAINURI</t>
  </si>
  <si>
    <t>Analisis Motivasi Berwirausaha Terhadap Mahasiswa di Komunitas Bisnis Calon Presiden kelurahan Barurambat Timur kecamatan Pademawu Kabupaten Pamekasan</t>
  </si>
  <si>
    <t>FANDITA DWI GUSTINIA</t>
  </si>
  <si>
    <t>Pengaruh Sales Growth, Profitabilitas, dan Leverage Terhadap Tax Avoidance pada Perusahaan Sektor Pertambangan yang Terdaftar di Indeks Saham Syariah Indonesia</t>
  </si>
  <si>
    <t>HOTIMATUS ZEHROH</t>
  </si>
  <si>
    <t>Strategi Pengembangan Sektor Pariwisata Puncak Ratu Untuk Peningkatan Pendapatan Masyarakat Dalam Perspektif Ekonomi Syariah Di Desa Tebul Barat Kecamatan Pegantenan Kabupaten Pamekasan</t>
  </si>
  <si>
    <t>AHMAD FAISAL BAHTIAR</t>
  </si>
  <si>
    <t>PRAKTIK JUAL BELI ISTISHNA' PADA BAGUNAN PERUMAHAN DI PT. DARUS SAKINAH PAMEKASAN DALAM PANDANGAN EKONOMI ISLAM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</si>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</sst>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6"/>
      <color theme="1"/>
      <name val="Cambria"/>
      <family val="1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Calibri Light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9"/>
      <name val="Segoe UI"/>
      <family val="2"/>
    </font>
    <font>
      <sz val="11"/>
      <color rgb="FFC8C8C8"/>
      <name val="Calibri"/>
      <family val="2"/>
      <scheme val="minor"/>
    </font>
    <font>
      <sz val="10"/>
      <color rgb="FFC8C8C8"/>
      <name val="Calibri"/>
      <family val="2"/>
      <scheme val="minor"/>
    </font>
    <font>
      <sz val="11"/>
      <color rgb="FF0B0000"/>
      <name val="Calibri"/>
      <family val="2"/>
      <scheme val="minor"/>
    </font>
    <font>
      <sz val="11"/>
      <color rgb="FF0C0000"/>
      <name val="Calibri"/>
      <family val="2"/>
      <scheme val="minor"/>
    </font>
    <font>
      <sz val="11"/>
      <color rgb="FF0D0000"/>
      <name val="Calibri"/>
      <family val="2"/>
      <scheme val="minor"/>
    </font>
    <font>
      <sz val="11"/>
      <color rgb="FF0E0000"/>
      <name val="Calibri"/>
      <family val="2"/>
      <scheme val="minor"/>
    </font>
    <font>
      <sz val="11"/>
      <color rgb="FF0F0000"/>
      <name val="Calibri"/>
      <family val="2"/>
      <scheme val="minor"/>
    </font>
    <font>
      <sz val="11"/>
      <color rgb="FF100000"/>
      <name val="Calibri"/>
      <family val="2"/>
      <scheme val="minor"/>
    </font>
    <font>
      <sz val="11"/>
      <color rgb="FF110000"/>
      <name val="Calibri"/>
      <family val="2"/>
      <scheme val="minor"/>
    </font>
    <font>
      <sz val="11"/>
      <color rgb="FF120000"/>
      <name val="Calibri"/>
      <family val="2"/>
      <scheme val="minor"/>
    </font>
    <font>
      <sz val="11"/>
      <color rgb="FF130000"/>
      <name val="Calibri"/>
      <family val="2"/>
      <scheme val="minor"/>
    </font>
    <font>
      <sz val="11"/>
      <color rgb="FF140000"/>
      <name val="Calibri"/>
      <family val="2"/>
      <scheme val="minor"/>
    </font>
    <font>
      <sz val="11"/>
      <color rgb="FF150000"/>
      <name val="Calibri"/>
      <family val="2"/>
      <scheme val="minor"/>
    </font>
    <font>
      <sz val="11"/>
      <color rgb="FF160000"/>
      <name val="Calibri"/>
      <family val="2"/>
      <scheme val="minor"/>
    </font>
    <font>
      <sz val="11"/>
      <color rgb="FFC83214"/>
      <name val="Calibri"/>
      <family val="2"/>
      <scheme val="minor"/>
    </font>
    <font>
      <sz val="11"/>
      <color rgb="FFC83228"/>
      <name val="Calibri"/>
      <family val="2"/>
      <scheme val="minor"/>
    </font>
    <font>
      <sz val="11"/>
      <color rgb="FFC8323C"/>
      <name val="Calibri"/>
      <family val="2"/>
      <scheme val="minor"/>
    </font>
    <font>
      <sz val="11"/>
      <color rgb="FFC83250"/>
      <name val="Calibri"/>
      <family val="2"/>
      <scheme val="minor"/>
    </font>
    <font>
      <sz val="11"/>
      <color rgb="FFC83264"/>
      <name val="Calibri"/>
      <family val="2"/>
      <scheme val="minor"/>
    </font>
    <font>
      <sz val="11"/>
      <color rgb="FFC83278"/>
      <name val="Calibri"/>
      <family val="2"/>
      <scheme val="minor"/>
    </font>
    <font>
      <sz val="11"/>
      <color rgb="FFC8328C"/>
      <name val="Calibri"/>
      <family val="2"/>
      <scheme val="minor"/>
    </font>
    <font>
      <sz val="11"/>
      <color rgb="FFC832A0"/>
      <name val="Calibri"/>
      <family val="2"/>
      <scheme val="minor"/>
    </font>
    <font>
      <sz val="11"/>
      <color rgb="FFC832B4"/>
      <name val="Calibri"/>
      <family val="2"/>
      <scheme val="minor"/>
    </font>
    <font>
      <sz val="11"/>
      <color rgb="FFC832C8"/>
      <name val="Calibri"/>
      <family val="2"/>
      <scheme val="minor"/>
    </font>
    <font>
      <sz val="11"/>
      <color rgb="FFC832DC"/>
      <name val="Calibri"/>
      <family val="2"/>
      <scheme val="minor"/>
    </font>
    <font>
      <sz val="11"/>
      <color rgb="FFC832F0"/>
      <name val="Calibri"/>
      <family val="2"/>
      <scheme val="minor"/>
    </font>
    <font>
      <sz val="10"/>
      <color theme="1"/>
      <name val="Arial"/>
      <family val="2"/>
    </font>
    <font>
      <b/>
      <sz val="11"/>
      <color rgb="FFC8C8C8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 tint="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499984740745262"/>
        <bgColor indexed="64"/>
      </patternFill>
    </fill>
    <fill>
      <patternFill patternType="solid">
        <fgColor theme="5" tint="0.499984740745262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7" tint="0.499984740745262"/>
        <bgColor indexed="64"/>
      </patternFill>
    </fill>
    <fill>
      <patternFill patternType="solid">
        <fgColor theme="8" tint="0.499984740745262"/>
        <bgColor indexed="64"/>
      </patternFill>
    </fill>
    <fill>
      <patternFill patternType="solid">
        <fgColor theme="9" tint="0.499984740745262"/>
        <bgColor indexed="64"/>
      </patternFill>
    </fill>
    <fill>
      <patternFill patternType="solid">
        <fgColor theme="10" tint="0.499984740745262"/>
        <bgColor indexed="64"/>
      </patternFill>
    </fill>
    <fill>
      <patternFill patternType="solid">
        <fgColor theme="11" tint="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0.79998168889431442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0" tint="0.79998168889431442"/>
        <bgColor indexed="64"/>
      </patternFill>
    </fill>
    <fill>
      <patternFill patternType="solid">
        <fgColor theme="11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6" fillId="0" borderId="0"/>
    <xf numFmtId="0" fontId="1" fillId="0" borderId="0"/>
    <xf numFmtId="0" fontId="1" fillId="0" borderId="0"/>
  </cellStyleXfs>
  <cellXfs count="119">
    <xf numFmtId="0" fontId="0" fillId="0" borderId="0" xfId="0"/>
    <xf numFmtId="0" fontId="8" fillId="0" borderId="0" xfId="0" applyFont="1" applyAlignment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/>
    <xf numFmtId="0" fontId="7" fillId="0" borderId="0" xfId="2" applyFont="1" applyBorder="1" applyAlignment="1"/>
    <xf numFmtId="0" fontId="7" fillId="0" borderId="0" xfId="1" applyFont="1" applyBorder="1" applyAlignment="1"/>
    <xf numFmtId="49" fontId="7" fillId="0" borderId="0" xfId="1" applyNumberFormat="1" applyFont="1" applyBorder="1" applyAlignment="1"/>
    <xf numFmtId="0" fontId="14" fillId="0" borderId="0" xfId="0" applyFont="1" applyFill="1" applyProtection="1"/>
    <xf numFmtId="0" fontId="15" fillId="0" borderId="0" xfId="0" applyFont="1" applyFill="1" applyProtection="1"/>
    <xf numFmtId="0" fontId="15" fillId="0" borderId="0" xfId="0" applyFont="1" applyFill="1" applyAlignment="1" applyProtection="1"/>
    <xf numFmtId="0" fontId="0" fillId="0" borderId="0" xfId="0" applyFill="1" applyAlignment="1" applyProtection="1">
      <alignment horizontal="center"/>
      <protection locked="0"/>
    </xf>
    <xf numFmtId="0" fontId="4" fillId="4" borderId="0" xfId="0" applyFont="1" applyFill="1" applyAlignment="1">
      <alignment vertical="center"/>
    </xf>
    <xf numFmtId="0" fontId="0" fillId="4" borderId="0" xfId="0" applyFill="1"/>
    <xf numFmtId="0" fontId="0" fillId="4" borderId="0" xfId="0" applyFill="1" applyProtection="1"/>
    <xf numFmtId="0" fontId="9" fillId="3" borderId="0" xfId="0" applyFont="1" applyFill="1" applyAlignment="1" applyProtection="1">
      <alignment vertical="center"/>
      <protection locked="0"/>
    </xf>
    <xf numFmtId="0" fontId="0" fillId="3" borderId="0" xfId="0" applyFont="1" applyFill="1" applyAlignment="1" applyProtection="1">
      <alignment horizontal="left" vertical="center"/>
    </xf>
    <xf numFmtId="0" fontId="10" fillId="3" borderId="0" xfId="0" applyFont="1" applyFill="1" applyAlignment="1" applyProtection="1">
      <alignment horizontal="left" vertical="center"/>
    </xf>
    <xf numFmtId="0" fontId="0" fillId="3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left"/>
    </xf>
    <xf numFmtId="0" fontId="12" fillId="4" borderId="0" xfId="0" applyFont="1" applyFill="1" applyAlignment="1" applyProtection="1">
      <alignment horizontal="left"/>
    </xf>
    <xf numFmtId="0" fontId="11" fillId="4" borderId="0" xfId="0" applyFont="1" applyFill="1" applyAlignment="1" applyProtection="1">
      <alignment horizontal="left"/>
    </xf>
    <xf numFmtId="0" fontId="13" fillId="2" borderId="0" xfId="0" applyFont="1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/>
    </xf>
    <xf numFmtId="0" fontId="3" fillId="4" borderId="0" xfId="0" applyFont="1" applyFill="1" applyAlignment="1" applyProtection="1">
      <alignment vertical="center"/>
    </xf>
    <xf numFmtId="0" fontId="0" fillId="6" borderId="0" xfId="0" applyFill="1" applyBorder="1"/>
    <xf numFmtId="0" fontId="0" fillId="0" borderId="0" xfId="0" applyFill="1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11" borderId="0" xfId="0" applyFill="1" applyBorder="1"/>
    <xf numFmtId="0" fontId="0" fillId="12" borderId="0" xfId="0" applyFill="1" applyBorder="1"/>
    <xf numFmtId="0" fontId="0" fillId="13" borderId="0" xfId="0" applyFill="1" applyBorder="1"/>
    <xf numFmtId="0" fontId="0" fillId="14" borderId="0" xfId="0" applyFill="1" applyBorder="1"/>
    <xf numFmtId="0" fontId="0" fillId="15" borderId="0" xfId="0" applyFill="1" applyBorder="1"/>
    <xf numFmtId="0" fontId="0" fillId="16" borderId="0" xfId="0" applyFill="1" applyBorder="1"/>
    <xf numFmtId="0" fontId="0" fillId="17" borderId="0" xfId="0" applyFill="1" applyBorder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5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5" fillId="11" borderId="0" xfId="0" applyFont="1" applyFill="1"/>
    <xf numFmtId="0" fontId="9" fillId="3" borderId="0" xfId="0" applyFont="1" applyFill="1" applyAlignment="1">
      <alignment vertical="center"/>
    </xf>
    <xf numFmtId="0" fontId="5" fillId="8" borderId="1" xfId="0" applyFont="1" applyFill="1" applyBorder="1" applyAlignment="1">
      <alignment horizontal="left" vertical="top"/>
    </xf>
    <xf numFmtId="0" fontId="4" fillId="4" borderId="0" xfId="0" applyFont="1" applyFill="1" applyAlignment="1" applyProtection="1">
      <alignment vertical="center"/>
    </xf>
    <xf numFmtId="0" fontId="9" fillId="3" borderId="0" xfId="0" applyFont="1" applyFill="1" applyAlignment="1" applyProtection="1">
      <alignment vertical="center"/>
    </xf>
    <xf numFmtId="0" fontId="0" fillId="0" borderId="0" xfId="0" applyProtection="1">
      <protection locked="0"/>
    </xf>
    <xf numFmtId="0" fontId="15" fillId="0" borderId="0" xfId="0" applyFont="1" applyFill="1" applyAlignment="1" applyProtection="1">
      <alignment horizontal="center"/>
    </xf>
    <xf numFmtId="0" fontId="2" fillId="3" borderId="4" xfId="0" applyFont="1" applyFill="1" applyBorder="1" applyAlignment="1" applyProtection="1">
      <alignment horizontal="centerContinuous" vertical="center"/>
    </xf>
    <xf numFmtId="0" fontId="2" fillId="3" borderId="4" xfId="0" applyFont="1" applyFill="1" applyBorder="1" applyAlignment="1" applyProtection="1">
      <alignment horizontal="center" vertical="center"/>
    </xf>
    <xf numFmtId="0" fontId="10" fillId="4" borderId="4" xfId="0" applyFont="1" applyFill="1" applyBorder="1" applyAlignment="1" applyProtection="1">
      <alignment vertical="center"/>
    </xf>
    <xf numFmtId="0" fontId="10" fillId="3" borderId="4" xfId="0" applyFont="1" applyFill="1" applyBorder="1" applyAlignment="1" applyProtection="1">
      <alignment vertical="center"/>
    </xf>
    <xf numFmtId="0" fontId="0" fillId="30" borderId="0" xfId="0" applyFill="1" applyBorder="1"/>
    <xf numFmtId="0" fontId="0" fillId="31" borderId="0" xfId="0" applyFill="1" applyBorder="1"/>
    <xf numFmtId="0" fontId="0" fillId="32" borderId="0" xfId="0" applyFill="1" applyBorder="1"/>
    <xf numFmtId="0" fontId="0" fillId="33" borderId="0" xfId="0" applyFill="1" applyBorder="1"/>
    <xf numFmtId="0" fontId="0" fillId="34" borderId="0" xfId="0" applyFill="1" applyBorder="1"/>
    <xf numFmtId="0" fontId="0" fillId="4" borderId="0" xfId="0" applyFill="1" applyBorder="1"/>
    <xf numFmtId="0" fontId="0" fillId="35" borderId="0" xfId="0" applyFill="1" applyBorder="1"/>
    <xf numFmtId="0" fontId="0" fillId="36" borderId="0" xfId="0" applyFill="1" applyBorder="1"/>
    <xf numFmtId="0" fontId="0" fillId="37" borderId="0" xfId="0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0" borderId="0" xfId="0" applyFont="1"/>
    <xf numFmtId="0" fontId="0" fillId="29" borderId="0" xfId="0" applyFill="1" applyBorder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/>
    <xf numFmtId="0" fontId="35" fillId="0" borderId="0" xfId="0" applyFont="1"/>
    <xf numFmtId="0" fontId="36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40" fillId="0" borderId="6" xfId="0" applyFont="1" applyBorder="1" applyAlignment="1"/>
    <xf numFmtId="0" fontId="11" fillId="4" borderId="0" xfId="0" applyFont="1" applyFill="1" applyAlignment="1" applyProtection="1">
      <alignment vertical="top" wrapText="1"/>
    </xf>
    <xf numFmtId="0" fontId="11" fillId="0" borderId="0" xfId="0" applyFont="1" applyAlignment="1" applyProtection="1">
      <alignment vertical="top" wrapText="1"/>
    </xf>
    <xf numFmtId="0" fontId="0" fillId="4" borderId="2" xfId="0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4" borderId="2" xfId="0" applyFont="1" applyFill="1" applyBorder="1" applyAlignment="1" applyProtection="1">
      <alignment horizontal="center" vertical="center" textRotation="90"/>
    </xf>
    <xf numFmtId="0" fontId="0" fillId="4" borderId="3" xfId="0" applyFill="1" applyBorder="1" applyAlignment="1" applyProtection="1">
      <alignment horizontal="center" vertical="center" textRotation="90"/>
    </xf>
    <xf numFmtId="0" fontId="0" fillId="3" borderId="2" xfId="0" applyFont="1" applyFill="1" applyBorder="1" applyAlignment="1" applyProtection="1">
      <alignment horizontal="center" vertical="center"/>
    </xf>
    <xf numFmtId="0" fontId="0" fillId="3" borderId="2" xfId="0" applyFont="1" applyFill="1" applyBorder="1" applyAlignment="1" applyProtection="1">
      <alignment horizontal="center" vertical="center" textRotation="90"/>
    </xf>
    <xf numFmtId="0" fontId="0" fillId="3" borderId="3" xfId="0" applyFill="1" applyBorder="1" applyAlignment="1" applyProtection="1">
      <alignment horizontal="center" vertical="center" textRotation="90"/>
    </xf>
    <xf numFmtId="1" fontId="3" fillId="4" borderId="0" xfId="0" applyNumberFormat="1" applyFont="1" applyFill="1" applyAlignment="1" applyProtection="1">
      <alignment horizontal="left" vertical="center"/>
    </xf>
    <xf numFmtId="1" fontId="11" fillId="4" borderId="0" xfId="0" applyNumberFormat="1" applyFont="1" applyFill="1" applyAlignment="1" applyProtection="1">
      <alignment horizontal="left" vertical="center"/>
    </xf>
    <xf numFmtId="0" fontId="2" fillId="3" borderId="2" xfId="0" applyFont="1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 textRotation="90"/>
    </xf>
    <xf numFmtId="0" fontId="41" fillId="0" borderId="0" xfId="0" applyFont="1" applyFill="1" applyAlignment="1" applyProtection="1">
      <alignment horizontal="right"/>
    </xf>
    <xf numFmtId="0" fontId="0" fillId="0" borderId="5" xfId="0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 textRotation="90"/>
    </xf>
  </cellXfs>
  <cellStyles count="4">
    <cellStyle name="Normal" xfId="0" builtinId="0"/>
    <cellStyle name="Normal 2" xfId="2" xr:uid="{00000000-0005-0000-0000-000001000000}"/>
    <cellStyle name="Normal 2 2" xfId="1" xr:uid="{00000000-0005-0000-0000-000002000000}"/>
    <cellStyle name="Normal 2 3" xfId="3" xr:uid="{00000000-0005-0000-0000-000003000000}"/>
  </cellStyles>
  <dxfs count="60"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auto="1"/>
      </font>
      <fill>
        <patternFill>
          <bgColor indexed="26"/>
        </patternFill>
      </fill>
    </dxf>
    <dxf>
      <font>
        <b/>
        <i val="0"/>
        <color indexed="8"/>
      </font>
      <fill>
        <patternFill>
          <bgColor indexed="13"/>
        </patternFill>
      </fill>
      <border>
        <left style="dotted">
          <color indexed="22"/>
        </left>
        <right style="dotted">
          <color indexed="22"/>
        </right>
        <top style="dotted">
          <color indexed="22"/>
        </top>
        <bottom style="dotted">
          <color indexed="2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workbookViewId="0">
      <selection activeCell="B3" sqref="B3"/>
    </sheetView>
  </sheetViews>
  <sheetFormatPr defaultRowHeight="14.5" x14ac:dyDescent="0.35"/>
  <cols>
    <col min="1" max="1" width="25.6328125" customWidth="1"/>
    <col min="2" max="2" width="50.6328125" customWidth="1"/>
    <col min="3" max="3" width="10.6328125" customWidth="1"/>
  </cols>
  <sheetData>
    <row r="1" spans="1:3" ht="28.5" customHeight="1" x14ac:dyDescent="0.35">
      <c r="A1" s="13" t="s">
        <v>0</v>
      </c>
      <c r="B1" s="14"/>
      <c r="C1" s="14"/>
    </row>
    <row r="2" spans="1:3" x14ac:dyDescent="0.35">
      <c r="A2" t="s">
        <v>116</v>
      </c>
    </row>
    <row r="3" spans="1:3" ht="15.5" x14ac:dyDescent="0.35">
      <c r="A3" s="54" t="s">
        <v>1</v>
      </c>
      <c r="B3" s="54" t="s">
        <v>1</v>
      </c>
      <c r="C3" s="56"/>
    </row>
    <row r="4" spans="1:3" ht="15.5" x14ac:dyDescent="0.35">
      <c r="A4" s="54" t="s">
        <v>2</v>
      </c>
      <c r="B4" s="56" t="s">
        <v>122</v>
      </c>
      <c r="C4" s="56"/>
    </row>
    <row r="5" spans="1:3" ht="15.5" x14ac:dyDescent="0.35">
      <c r="A5" s="54" t="s">
        <v>3</v>
      </c>
      <c r="B5" s="56" t="s">
        <v>4</v>
      </c>
      <c r="C5" s="56"/>
    </row>
    <row r="6" spans="1:3" ht="15.5" x14ac:dyDescent="0.35">
      <c r="A6" s="54" t="s">
        <v>5</v>
      </c>
      <c r="B6" s="56" t="s">
        <v>6</v>
      </c>
      <c r="C6" s="56"/>
    </row>
    <row r="7" spans="1:3" ht="15.5" x14ac:dyDescent="0.35">
      <c r="A7" s="54" t="s">
        <v>7</v>
      </c>
      <c r="B7" s="56" t="s">
        <v>8</v>
      </c>
      <c r="C7" s="56"/>
    </row>
    <row r="8" spans="1:3" ht="15.5" x14ac:dyDescent="0.35">
      <c r="A8" s="54" t="s">
        <v>9</v>
      </c>
      <c r="B8" s="56" t="s">
        <v>10</v>
      </c>
      <c r="C8" s="56"/>
    </row>
    <row r="9" spans="1:3" ht="15.5" x14ac:dyDescent="0.35">
      <c r="A9" s="54" t="s">
        <v>11</v>
      </c>
      <c r="B9" s="56"/>
      <c r="C9" s="5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1"/>
  <sheetViews>
    <sheetView workbookViewId="0">
      <selection activeCell="D24" sqref="D24"/>
    </sheetView>
  </sheetViews>
  <sheetFormatPr defaultRowHeight="14.5" x14ac:dyDescent="0.35"/>
  <cols>
    <col min="1" max="1" width="5.6328125" customWidth="1"/>
    <col min="2" max="2" width="6.6328125" customWidth="1"/>
    <col min="3" max="3" width="20.6328125" customWidth="1"/>
    <col min="4" max="4" width="30.6328125" customWidth="1"/>
  </cols>
  <sheetData>
    <row r="1" spans="1:4" ht="29" customHeight="1" x14ac:dyDescent="0.35">
      <c r="A1" s="13" t="s">
        <v>12</v>
      </c>
      <c r="B1" s="14"/>
      <c r="C1" s="14"/>
      <c r="D1" s="14"/>
    </row>
    <row r="2" spans="1:4" x14ac:dyDescent="0.35">
      <c r="A2" s="55" t="s">
        <v>13</v>
      </c>
      <c r="B2" s="55" t="s">
        <v>14</v>
      </c>
      <c r="C2" s="55" t="s">
        <v>15</v>
      </c>
      <c r="D2" s="55" t="s">
        <v>16</v>
      </c>
    </row>
    <row r="3" spans="1:4" x14ac:dyDescent="0.35">
      <c r="A3" s="5">
        <v>1</v>
      </c>
      <c r="B3" s="5" t="s">
        <v>17</v>
      </c>
      <c r="C3" s="7" t="s">
        <v>18</v>
      </c>
      <c r="D3" s="1" t="s">
        <v>19</v>
      </c>
    </row>
    <row r="4" spans="1:4" x14ac:dyDescent="0.35">
      <c r="A4" s="5">
        <v>2</v>
      </c>
      <c r="B4" s="5" t="s">
        <v>20</v>
      </c>
      <c r="C4" s="7" t="s">
        <v>21</v>
      </c>
      <c r="D4" s="1" t="s">
        <v>22</v>
      </c>
    </row>
    <row r="5" spans="1:4" x14ac:dyDescent="0.35">
      <c r="A5" s="5">
        <v>3</v>
      </c>
      <c r="B5" s="5" t="s">
        <v>23</v>
      </c>
      <c r="C5" s="7" t="s">
        <v>24</v>
      </c>
      <c r="D5" s="1" t="s">
        <v>25</v>
      </c>
    </row>
    <row r="6" spans="1:4" x14ac:dyDescent="0.35">
      <c r="A6" s="5">
        <v>4</v>
      </c>
      <c r="B6" s="5" t="s">
        <v>26</v>
      </c>
      <c r="C6" s="6" t="s">
        <v>27</v>
      </c>
      <c r="D6" s="1" t="s">
        <v>28</v>
      </c>
    </row>
    <row r="7" spans="1:4" x14ac:dyDescent="0.35">
      <c r="A7" s="5">
        <v>5</v>
      </c>
      <c r="B7" s="5" t="s">
        <v>29</v>
      </c>
      <c r="C7" s="6" t="s">
        <v>30</v>
      </c>
      <c r="D7" s="1" t="s">
        <v>31</v>
      </c>
    </row>
    <row r="8" spans="1:4" x14ac:dyDescent="0.35">
      <c r="A8" s="5">
        <v>6</v>
      </c>
      <c r="B8" s="5" t="s">
        <v>32</v>
      </c>
      <c r="C8" s="7" t="s">
        <v>33</v>
      </c>
      <c r="D8" s="1" t="s">
        <v>34</v>
      </c>
    </row>
    <row r="9" spans="1:4" x14ac:dyDescent="0.35">
      <c r="A9" s="5">
        <v>7</v>
      </c>
      <c r="B9" s="5" t="s">
        <v>35</v>
      </c>
      <c r="C9" s="7" t="s">
        <v>36</v>
      </c>
      <c r="D9" s="1" t="s">
        <v>94</v>
      </c>
    </row>
    <row r="10" spans="1:4" x14ac:dyDescent="0.35">
      <c r="A10" s="5">
        <v>8</v>
      </c>
      <c r="B10" s="5" t="s">
        <v>37</v>
      </c>
      <c r="C10" s="7" t="s">
        <v>38</v>
      </c>
      <c r="D10" s="1" t="s">
        <v>39</v>
      </c>
    </row>
    <row r="11" spans="1:4" x14ac:dyDescent="0.35">
      <c r="A11" s="5">
        <v>9</v>
      </c>
      <c r="B11" s="5" t="s">
        <v>40</v>
      </c>
      <c r="C11" s="7" t="s">
        <v>41</v>
      </c>
      <c r="D11" s="7" t="s">
        <v>42</v>
      </c>
    </row>
    <row r="12" spans="1:4" x14ac:dyDescent="0.35">
      <c r="A12" s="5">
        <v>10</v>
      </c>
      <c r="B12" s="5" t="s">
        <v>43</v>
      </c>
      <c r="C12" s="7" t="s">
        <v>44</v>
      </c>
      <c r="D12" s="1" t="s">
        <v>45</v>
      </c>
    </row>
    <row r="13" spans="1:4" x14ac:dyDescent="0.35">
      <c r="A13" s="5">
        <v>11</v>
      </c>
      <c r="B13" s="5" t="s">
        <v>46</v>
      </c>
      <c r="C13" s="7" t="s">
        <v>47</v>
      </c>
      <c r="D13" s="1" t="s">
        <v>92</v>
      </c>
    </row>
    <row r="14" spans="1:4" x14ac:dyDescent="0.35">
      <c r="A14" s="5">
        <v>12</v>
      </c>
      <c r="B14" s="5" t="s">
        <v>48</v>
      </c>
      <c r="C14" s="7" t="s">
        <v>49</v>
      </c>
      <c r="D14" s="1" t="s">
        <v>50</v>
      </c>
    </row>
    <row r="15" spans="1:4" x14ac:dyDescent="0.35">
      <c r="A15" s="5">
        <v>13</v>
      </c>
      <c r="B15" s="5" t="s">
        <v>51</v>
      </c>
      <c r="C15" s="8" t="s">
        <v>52</v>
      </c>
      <c r="D15" s="1" t="s">
        <v>53</v>
      </c>
    </row>
    <row r="16" spans="1:4" x14ac:dyDescent="0.35">
      <c r="A16" s="5">
        <v>14</v>
      </c>
      <c r="B16" s="5" t="s">
        <v>54</v>
      </c>
      <c r="C16" s="7" t="s">
        <v>55</v>
      </c>
      <c r="D16" s="7" t="s">
        <v>56</v>
      </c>
    </row>
    <row r="17" spans="1:4" x14ac:dyDescent="0.35">
      <c r="A17" s="5">
        <v>15</v>
      </c>
      <c r="B17" s="5" t="s">
        <v>57</v>
      </c>
      <c r="C17" s="6" t="s">
        <v>58</v>
      </c>
      <c r="D17" s="1" t="s">
        <v>59</v>
      </c>
    </row>
    <row r="18" spans="1:4" x14ac:dyDescent="0.35">
      <c r="A18" s="5">
        <v>16</v>
      </c>
      <c r="B18" s="5" t="s">
        <v>60</v>
      </c>
      <c r="C18" s="6" t="s">
        <v>61</v>
      </c>
      <c r="D18" s="1" t="s">
        <v>62</v>
      </c>
    </row>
    <row r="19" spans="1:4" x14ac:dyDescent="0.35">
      <c r="A19" s="5">
        <v>17</v>
      </c>
      <c r="B19" s="5" t="s">
        <v>63</v>
      </c>
      <c r="C19" s="6" t="s">
        <v>64</v>
      </c>
      <c r="D19" s="1" t="s">
        <v>65</v>
      </c>
    </row>
    <row r="20" spans="1:4" x14ac:dyDescent="0.35">
      <c r="A20" s="5">
        <v>18</v>
      </c>
      <c r="B20" s="5" t="s">
        <v>66</v>
      </c>
      <c r="C20" s="6"/>
      <c r="D20" s="1" t="s">
        <v>67</v>
      </c>
    </row>
    <row r="21" spans="1:4" x14ac:dyDescent="0.35">
      <c r="A21" s="5">
        <v>19</v>
      </c>
      <c r="B21" s="5" t="s">
        <v>68</v>
      </c>
      <c r="C21" s="8"/>
      <c r="D21" s="1" t="s">
        <v>69</v>
      </c>
    </row>
    <row r="22" spans="1:4" x14ac:dyDescent="0.35">
      <c r="A22" s="5">
        <v>20</v>
      </c>
      <c r="B22" s="5" t="s">
        <v>70</v>
      </c>
      <c r="C22" s="6"/>
      <c r="D22" s="1" t="s">
        <v>71</v>
      </c>
    </row>
    <row r="23" spans="1:4" x14ac:dyDescent="0.35">
      <c r="A23" s="5">
        <v>21</v>
      </c>
      <c r="B23" s="5" t="s">
        <v>72</v>
      </c>
      <c r="C23" s="8"/>
      <c r="D23" s="1" t="s">
        <v>95</v>
      </c>
    </row>
    <row r="24" spans="1:4" x14ac:dyDescent="0.35">
      <c r="A24" s="5">
        <v>22</v>
      </c>
      <c r="B24" s="5" t="s">
        <v>73</v>
      </c>
      <c r="C24" s="6"/>
      <c r="D24" s="1" t="s">
        <v>96</v>
      </c>
    </row>
    <row r="25" spans="1:4" x14ac:dyDescent="0.35">
      <c r="A25" s="5">
        <v>23</v>
      </c>
      <c r="B25" s="5" t="s">
        <v>74</v>
      </c>
      <c r="C25" s="6"/>
      <c r="D25" s="1" t="s">
        <v>75</v>
      </c>
    </row>
    <row r="26" spans="1:4" x14ac:dyDescent="0.35">
      <c r="A26" s="5">
        <v>24</v>
      </c>
      <c r="B26" s="5" t="s">
        <v>76</v>
      </c>
      <c r="C26" s="6"/>
      <c r="D26" s="1" t="s">
        <v>77</v>
      </c>
    </row>
    <row r="27" spans="1:4" x14ac:dyDescent="0.35">
      <c r="A27" s="5">
        <v>25</v>
      </c>
      <c r="B27" s="5" t="s">
        <v>78</v>
      </c>
      <c r="C27" s="6"/>
      <c r="D27" s="1" t="s">
        <v>79</v>
      </c>
    </row>
    <row r="28" spans="1:4" x14ac:dyDescent="0.35">
      <c r="A28" s="5">
        <v>26</v>
      </c>
      <c r="B28" s="5" t="s">
        <v>80</v>
      </c>
      <c r="C28" s="6"/>
      <c r="D28" s="1" t="s">
        <v>93</v>
      </c>
    </row>
    <row r="29" spans="1:4" x14ac:dyDescent="0.35">
      <c r="A29" s="5">
        <v>27</v>
      </c>
      <c r="B29" s="5" t="s">
        <v>81</v>
      </c>
      <c r="C29" s="8" t="s">
        <v>82</v>
      </c>
      <c r="D29" s="7" t="s">
        <v>83</v>
      </c>
    </row>
    <row r="30" spans="1:4" x14ac:dyDescent="0.35">
      <c r="A30" s="5">
        <v>28</v>
      </c>
      <c r="B30" s="5" t="s">
        <v>84</v>
      </c>
      <c r="C30" s="6"/>
      <c r="D30" s="7" t="s">
        <v>85</v>
      </c>
    </row>
    <row r="31" spans="1:4" x14ac:dyDescent="0.35">
      <c r="A31" s="5">
        <v>29</v>
      </c>
      <c r="B31" s="5" t="s">
        <v>86</v>
      </c>
      <c r="C31" s="6"/>
      <c r="D31" s="7" t="s">
        <v>87</v>
      </c>
    </row>
  </sheetData>
  <sortState xmlns:xlrd2="http://schemas.microsoft.com/office/spreadsheetml/2017/richdata2" ref="E3:E161">
    <sortCondition ref="E3:E161"/>
  </sortState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18"/>
  <sheetViews>
    <sheetView workbookViewId="0">
      <selection activeCell="E2" sqref="E2"/>
    </sheetView>
  </sheetViews>
  <sheetFormatPr defaultRowHeight="14.5" x14ac:dyDescent="0.35"/>
  <cols>
    <col min="1" max="1" width="5.6328125" customWidth="1"/>
    <col min="2" max="2" width="15.6328125" customWidth="1"/>
    <col min="3" max="3" width="25.6328125" customWidth="1"/>
    <col min="4" max="4" width="15.6328125" customWidth="1"/>
    <col min="5" max="5" width="5.6328125" customWidth="1"/>
    <col min="6" max="7" width="25.6328125" customWidth="1"/>
    <col min="8" max="8" width="10.6328125" customWidth="1"/>
  </cols>
  <sheetData>
    <row r="1" spans="1:8" ht="29" customHeight="1" x14ac:dyDescent="0.35">
      <c r="A1" s="13" t="s">
        <v>173</v>
      </c>
      <c r="B1" s="14"/>
      <c r="C1" s="14"/>
      <c r="D1" s="14"/>
      <c r="E1" s="14"/>
      <c r="F1" s="14"/>
      <c r="G1" s="14"/>
      <c r="H1" s="14"/>
    </row>
    <row r="2" spans="1:8" ht="15" thickBot="1" x14ac:dyDescent="0.4">
      <c r="A2" s="55" t="s">
        <v>13</v>
      </c>
      <c r="B2" s="55" t="s">
        <v>88</v>
      </c>
      <c r="C2" s="55" t="s">
        <v>16</v>
      </c>
      <c r="D2" s="55" t="s">
        <v>89</v>
      </c>
      <c r="E2" s="55" t="s">
        <v>90</v>
      </c>
      <c r="F2" s="55" t="s">
        <v>91</v>
      </c>
      <c r="G2" s="55" t="s">
        <v>100</v>
      </c>
      <c r="H2" s="55" t="s">
        <v>174</v>
      </c>
    </row>
    <row r="3" spans="1:8" ht="15" thickBot="1" x14ac:dyDescent="0.4">
      <c r="A3" s="5">
        <v>1</v>
      </c>
      <c r="B3" s="102">
        <v>20160703020002</v>
      </c>
      <c r="C3" s="102" t="s">
        <v>175</v>
      </c>
      <c r="D3" s="102" t="s">
        <v>176</v>
      </c>
      <c r="E3" s="102">
        <v>9</v>
      </c>
      <c r="F3" s="102" t="s">
        <v>75</v>
      </c>
      <c r="G3" s="102" t="s">
        <v>177</v>
      </c>
      <c r="H3" s="102" t="s">
        <v>178</v>
      </c>
    </row>
    <row r="4" spans="1:8" ht="15" thickBot="1" x14ac:dyDescent="0.4">
      <c r="A4" s="5">
        <v>2</v>
      </c>
      <c r="B4" s="102">
        <v>20160703030181</v>
      </c>
      <c r="C4" s="102" t="s">
        <v>179</v>
      </c>
      <c r="D4" s="102" t="s">
        <v>180</v>
      </c>
      <c r="E4" s="102">
        <v>9</v>
      </c>
      <c r="F4" s="102" t="s">
        <v>45</v>
      </c>
      <c r="G4" s="102" t="s">
        <v>22</v>
      </c>
      <c r="H4" s="102" t="s">
        <v>181</v>
      </c>
    </row>
    <row r="5" spans="1:8" ht="15" thickBot="1" x14ac:dyDescent="0.4">
      <c r="A5" s="5">
        <v>3</v>
      </c>
      <c r="B5" s="102">
        <v>20160703030144</v>
      </c>
      <c r="C5" s="102" t="s">
        <v>182</v>
      </c>
      <c r="D5" s="102" t="s">
        <v>180</v>
      </c>
      <c r="E5" s="102">
        <v>9</v>
      </c>
      <c r="F5" s="102" t="s">
        <v>39</v>
      </c>
      <c r="G5" s="102" t="s">
        <v>69</v>
      </c>
      <c r="H5" s="102" t="s">
        <v>183</v>
      </c>
    </row>
    <row r="6" spans="1:8" ht="15" thickBot="1" x14ac:dyDescent="0.4">
      <c r="A6" s="5">
        <v>4</v>
      </c>
      <c r="B6" s="102">
        <v>20160703020057</v>
      </c>
      <c r="C6" s="102" t="s">
        <v>184</v>
      </c>
      <c r="D6" s="102" t="s">
        <v>176</v>
      </c>
      <c r="E6" s="102">
        <v>9</v>
      </c>
      <c r="F6" s="102" t="s">
        <v>22</v>
      </c>
      <c r="G6" s="102" t="s">
        <v>28</v>
      </c>
      <c r="H6" s="102" t="s">
        <v>185</v>
      </c>
    </row>
    <row r="7" spans="1:8" ht="15" thickBot="1" x14ac:dyDescent="0.4">
      <c r="A7" s="5">
        <v>5</v>
      </c>
      <c r="B7" s="102">
        <v>18201503020014</v>
      </c>
      <c r="C7" s="102" t="s">
        <v>186</v>
      </c>
      <c r="D7" s="102" t="s">
        <v>176</v>
      </c>
      <c r="E7" s="102">
        <v>11</v>
      </c>
      <c r="F7" s="102" t="s">
        <v>62</v>
      </c>
      <c r="G7" s="102" t="s">
        <v>69</v>
      </c>
      <c r="H7" s="102" t="s">
        <v>187</v>
      </c>
    </row>
    <row r="8" spans="1:8" ht="15" thickBot="1" x14ac:dyDescent="0.4">
      <c r="A8" s="5">
        <v>6</v>
      </c>
      <c r="B8" s="102">
        <v>18201402030113</v>
      </c>
      <c r="C8" s="102" t="s">
        <v>188</v>
      </c>
      <c r="D8" s="102" t="s">
        <v>180</v>
      </c>
      <c r="E8" s="102">
        <v>13</v>
      </c>
      <c r="F8" s="102" t="s">
        <v>31</v>
      </c>
      <c r="G8" s="102" t="s">
        <v>62</v>
      </c>
      <c r="H8" s="102" t="s">
        <v>189</v>
      </c>
    </row>
    <row r="9" spans="1:8" ht="15" thickBot="1" x14ac:dyDescent="0.4">
      <c r="A9" s="5">
        <v>7</v>
      </c>
      <c r="B9" s="102">
        <v>20160703020007</v>
      </c>
      <c r="C9" s="102" t="s">
        <v>190</v>
      </c>
      <c r="D9" s="102" t="s">
        <v>176</v>
      </c>
      <c r="E9" s="102">
        <v>9</v>
      </c>
      <c r="F9" s="102" t="s">
        <v>191</v>
      </c>
      <c r="G9" s="102" t="s">
        <v>67</v>
      </c>
      <c r="H9" s="102" t="s">
        <v>192</v>
      </c>
    </row>
    <row r="10" spans="1:8" ht="15" thickBot="1" x14ac:dyDescent="0.4">
      <c r="A10" s="5">
        <v>8</v>
      </c>
      <c r="B10" s="102">
        <v>20160703040058</v>
      </c>
      <c r="C10" s="102" t="s">
        <v>193</v>
      </c>
      <c r="D10" s="102" t="s">
        <v>194</v>
      </c>
      <c r="E10" s="102">
        <v>9</v>
      </c>
      <c r="F10" s="102" t="s">
        <v>31</v>
      </c>
      <c r="G10" s="102" t="s">
        <v>34</v>
      </c>
      <c r="H10" s="102" t="s">
        <v>195</v>
      </c>
    </row>
    <row r="11" spans="1:8" ht="15" thickBot="1" x14ac:dyDescent="0.4">
      <c r="A11" s="5">
        <v>9</v>
      </c>
      <c r="B11" s="102">
        <v>20160703020083</v>
      </c>
      <c r="C11" s="102" t="s">
        <v>196</v>
      </c>
      <c r="D11" s="102" t="s">
        <v>176</v>
      </c>
      <c r="E11" s="102">
        <v>9</v>
      </c>
      <c r="F11" s="102" t="s">
        <v>42</v>
      </c>
      <c r="G11" s="102" t="s">
        <v>19</v>
      </c>
      <c r="H11" s="102" t="s">
        <v>197</v>
      </c>
    </row>
    <row r="12" spans="1:8" ht="15" thickBot="1" x14ac:dyDescent="0.4">
      <c r="A12" s="5">
        <v>10</v>
      </c>
      <c r="B12" s="102">
        <v>18201503030081</v>
      </c>
      <c r="C12" s="102" t="s">
        <v>198</v>
      </c>
      <c r="D12" s="102" t="s">
        <v>180</v>
      </c>
      <c r="E12" s="102">
        <v>11</v>
      </c>
      <c r="F12" s="102" t="s">
        <v>69</v>
      </c>
      <c r="G12" s="102" t="s">
        <v>177</v>
      </c>
      <c r="H12" s="102" t="s">
        <v>199</v>
      </c>
    </row>
    <row r="13" spans="1:8" ht="15" thickBot="1" x14ac:dyDescent="0.4">
      <c r="A13" s="5">
        <v>11</v>
      </c>
      <c r="B13" s="102">
        <v>20160703020214</v>
      </c>
      <c r="C13" s="102" t="s">
        <v>200</v>
      </c>
      <c r="D13" s="102" t="s">
        <v>176</v>
      </c>
      <c r="E13" s="102">
        <v>9</v>
      </c>
      <c r="F13" s="102" t="s">
        <v>201</v>
      </c>
      <c r="G13" s="102" t="s">
        <v>202</v>
      </c>
      <c r="H13" s="102" t="s">
        <v>203</v>
      </c>
    </row>
    <row r="14" spans="1:8" ht="15" thickBot="1" x14ac:dyDescent="0.4">
      <c r="A14" s="5">
        <v>12</v>
      </c>
      <c r="B14" s="102">
        <v>20160703030114</v>
      </c>
      <c r="C14" s="102" t="s">
        <v>204</v>
      </c>
      <c r="D14" s="102" t="s">
        <v>180</v>
      </c>
      <c r="E14" s="102">
        <v>9</v>
      </c>
      <c r="F14" s="102" t="s">
        <v>201</v>
      </c>
      <c r="G14" s="102" t="s">
        <v>31</v>
      </c>
      <c r="H14" s="102" t="s">
        <v>205</v>
      </c>
    </row>
    <row r="15" spans="1:8" ht="15" thickBot="1" x14ac:dyDescent="0.4">
      <c r="A15" s="5">
        <v>13</v>
      </c>
      <c r="B15" s="102">
        <v>18201503020031</v>
      </c>
      <c r="C15" s="102" t="s">
        <v>206</v>
      </c>
      <c r="D15" s="102" t="s">
        <v>176</v>
      </c>
      <c r="E15" s="102">
        <v>11</v>
      </c>
      <c r="F15" s="102" t="s">
        <v>77</v>
      </c>
      <c r="G15" s="102" t="s">
        <v>67</v>
      </c>
      <c r="H15" s="102" t="s">
        <v>207</v>
      </c>
    </row>
    <row r="16" spans="1:8" ht="15" thickBot="1" x14ac:dyDescent="0.4">
      <c r="A16" s="5">
        <v>14</v>
      </c>
      <c r="B16" s="102">
        <v>18201503020093</v>
      </c>
      <c r="C16" s="102" t="s">
        <v>208</v>
      </c>
      <c r="D16" s="102" t="s">
        <v>176</v>
      </c>
      <c r="E16" s="102">
        <v>11</v>
      </c>
      <c r="F16" s="102" t="s">
        <v>67</v>
      </c>
      <c r="G16" s="102" t="s">
        <v>62</v>
      </c>
      <c r="H16" s="102" t="s">
        <v>209</v>
      </c>
    </row>
    <row r="17" spans="1:8" ht="15" thickBot="1" x14ac:dyDescent="0.4">
      <c r="A17" s="5">
        <v>15</v>
      </c>
      <c r="B17" s="102">
        <v>20160703020075</v>
      </c>
      <c r="C17" s="102" t="s">
        <v>210</v>
      </c>
      <c r="D17" s="102" t="s">
        <v>176</v>
      </c>
      <c r="E17" s="102">
        <v>9</v>
      </c>
      <c r="F17" s="102" t="s">
        <v>69</v>
      </c>
      <c r="G17" s="102" t="s">
        <v>211</v>
      </c>
      <c r="H17" s="102" t="s">
        <v>212</v>
      </c>
    </row>
    <row r="18" spans="1:8" ht="15" thickBot="1" x14ac:dyDescent="0.4">
      <c r="A18" s="5">
        <v>16</v>
      </c>
      <c r="B18" s="102">
        <v>20160703020112</v>
      </c>
      <c r="C18" s="102" t="s">
        <v>213</v>
      </c>
      <c r="D18" s="102" t="s">
        <v>176</v>
      </c>
      <c r="E18" s="102">
        <v>9</v>
      </c>
      <c r="F18" s="102" t="s">
        <v>214</v>
      </c>
      <c r="G18" s="102" t="s">
        <v>77</v>
      </c>
      <c r="H18" s="102" t="s">
        <v>215</v>
      </c>
    </row>
    <row r="19" spans="1:8" ht="15" thickBot="1" x14ac:dyDescent="0.4">
      <c r="A19" s="5">
        <v>17</v>
      </c>
      <c r="B19" s="102">
        <v>20160703030135</v>
      </c>
      <c r="C19" s="102" t="s">
        <v>216</v>
      </c>
      <c r="D19" s="102" t="s">
        <v>180</v>
      </c>
      <c r="E19" s="102">
        <v>9</v>
      </c>
      <c r="F19" s="102" t="s">
        <v>214</v>
      </c>
      <c r="G19" s="102" t="s">
        <v>42</v>
      </c>
      <c r="H19" s="102" t="s">
        <v>217</v>
      </c>
    </row>
    <row r="20" spans="1:8" ht="15" thickBot="1" x14ac:dyDescent="0.4">
      <c r="A20" s="5">
        <v>18</v>
      </c>
      <c r="B20" s="102">
        <v>20160703020193</v>
      </c>
      <c r="C20" s="102" t="s">
        <v>218</v>
      </c>
      <c r="D20" s="102" t="s">
        <v>176</v>
      </c>
      <c r="E20" s="102">
        <v>9</v>
      </c>
      <c r="F20" s="102" t="s">
        <v>25</v>
      </c>
      <c r="G20" s="102" t="s">
        <v>45</v>
      </c>
      <c r="H20" s="102" t="s">
        <v>219</v>
      </c>
    </row>
    <row r="21" spans="1:8" ht="15" thickBot="1" x14ac:dyDescent="0.4">
      <c r="A21" s="5">
        <v>19</v>
      </c>
      <c r="B21" s="102">
        <v>18201503030037</v>
      </c>
      <c r="C21" s="102" t="s">
        <v>220</v>
      </c>
      <c r="D21" s="102" t="s">
        <v>180</v>
      </c>
      <c r="E21" s="102">
        <v>11</v>
      </c>
      <c r="F21" s="102" t="s">
        <v>22</v>
      </c>
      <c r="G21" s="102" t="s">
        <v>31</v>
      </c>
      <c r="H21" s="102" t="s">
        <v>221</v>
      </c>
    </row>
    <row r="22" spans="1:8" ht="15" thickBot="1" x14ac:dyDescent="0.4">
      <c r="A22" s="5">
        <v>20</v>
      </c>
      <c r="B22" s="102">
        <v>20160703030135</v>
      </c>
      <c r="C22" s="102" t="s">
        <v>216</v>
      </c>
      <c r="D22" s="102" t="s">
        <v>180</v>
      </c>
      <c r="E22" s="102">
        <v>9</v>
      </c>
      <c r="F22" s="102" t="s">
        <v>214</v>
      </c>
      <c r="G22" s="102" t="s">
        <v>42</v>
      </c>
      <c r="H22" s="102" t="s">
        <v>222</v>
      </c>
    </row>
    <row r="23" spans="1:8" ht="15" thickBot="1" x14ac:dyDescent="0.4">
      <c r="A23" s="5">
        <v>21</v>
      </c>
      <c r="B23" s="102">
        <v>20160703020142</v>
      </c>
      <c r="C23" s="102" t="s">
        <v>223</v>
      </c>
      <c r="D23" s="102" t="s">
        <v>176</v>
      </c>
      <c r="E23" s="102">
        <v>9</v>
      </c>
      <c r="F23" s="102" t="s">
        <v>202</v>
      </c>
      <c r="G23" s="102" t="s">
        <v>22</v>
      </c>
      <c r="H23" s="102" t="s">
        <v>224</v>
      </c>
    </row>
    <row r="24" spans="1:8" ht="15" thickBot="1" x14ac:dyDescent="0.4">
      <c r="A24" s="5">
        <v>22</v>
      </c>
      <c r="B24" s="102">
        <v>20160703020185</v>
      </c>
      <c r="C24" s="102" t="s">
        <v>225</v>
      </c>
      <c r="D24" s="102" t="s">
        <v>176</v>
      </c>
      <c r="E24" s="102">
        <v>9</v>
      </c>
      <c r="F24" s="102" t="s">
        <v>71</v>
      </c>
      <c r="G24" s="102" t="s">
        <v>226</v>
      </c>
      <c r="H24" s="102" t="s">
        <v>227</v>
      </c>
    </row>
    <row r="25" spans="1:8" ht="15" thickBot="1" x14ac:dyDescent="0.4">
      <c r="A25" s="5">
        <v>23</v>
      </c>
      <c r="B25" s="102">
        <v>18201503020071</v>
      </c>
      <c r="C25" s="102" t="s">
        <v>228</v>
      </c>
      <c r="D25" s="102" t="s">
        <v>176</v>
      </c>
      <c r="E25" s="102">
        <v>11</v>
      </c>
      <c r="F25" s="102" t="s">
        <v>22</v>
      </c>
      <c r="G25" s="102" t="s">
        <v>71</v>
      </c>
      <c r="H25" s="102" t="s">
        <v>229</v>
      </c>
    </row>
    <row r="26" spans="1:8" ht="15" thickBot="1" x14ac:dyDescent="0.4">
      <c r="A26" s="5">
        <v>24</v>
      </c>
      <c r="B26" s="102">
        <v>20160703020179</v>
      </c>
      <c r="C26" s="102" t="s">
        <v>230</v>
      </c>
      <c r="D26" s="102" t="s">
        <v>176</v>
      </c>
      <c r="E26" s="102">
        <v>9</v>
      </c>
      <c r="F26" s="102" t="s">
        <v>39</v>
      </c>
      <c r="G26" s="102" t="s">
        <v>62</v>
      </c>
      <c r="H26" s="102" t="s">
        <v>231</v>
      </c>
    </row>
    <row r="27" spans="1:8" ht="15" thickBot="1" x14ac:dyDescent="0.4">
      <c r="A27" s="5">
        <v>25</v>
      </c>
      <c r="B27" s="102">
        <v>20160703020113</v>
      </c>
      <c r="C27" s="102" t="s">
        <v>232</v>
      </c>
      <c r="D27" s="102" t="s">
        <v>176</v>
      </c>
      <c r="E27" s="102">
        <v>9</v>
      </c>
      <c r="F27" s="102" t="s">
        <v>214</v>
      </c>
      <c r="G27" s="102" t="s">
        <v>31</v>
      </c>
      <c r="H27" s="102" t="s">
        <v>233</v>
      </c>
    </row>
    <row r="28" spans="1:8" ht="15" thickBot="1" x14ac:dyDescent="0.4">
      <c r="A28" s="5">
        <v>26</v>
      </c>
      <c r="B28" s="102">
        <v>18201503020103</v>
      </c>
      <c r="C28" s="102" t="s">
        <v>234</v>
      </c>
      <c r="D28" s="102" t="s">
        <v>176</v>
      </c>
      <c r="E28" s="102">
        <v>11</v>
      </c>
      <c r="F28" s="102" t="s">
        <v>214</v>
      </c>
      <c r="G28" s="102" t="s">
        <v>31</v>
      </c>
      <c r="H28" s="102" t="s">
        <v>235</v>
      </c>
    </row>
    <row r="29" spans="1:8" ht="15" thickBot="1" x14ac:dyDescent="0.4">
      <c r="A29" s="5">
        <v>27</v>
      </c>
      <c r="B29" s="102">
        <v>20160703040009</v>
      </c>
      <c r="C29" s="102" t="s">
        <v>236</v>
      </c>
      <c r="D29" s="102" t="s">
        <v>194</v>
      </c>
      <c r="E29" s="102">
        <v>9</v>
      </c>
      <c r="F29" s="102" t="s">
        <v>59</v>
      </c>
      <c r="G29" s="102" t="s">
        <v>25</v>
      </c>
      <c r="H29" s="102" t="s">
        <v>237</v>
      </c>
    </row>
    <row r="30" spans="1:8" ht="15" thickBot="1" x14ac:dyDescent="0.4">
      <c r="A30" s="5">
        <v>28</v>
      </c>
      <c r="B30" s="102">
        <v>20160703030107</v>
      </c>
      <c r="C30" s="102" t="s">
        <v>238</v>
      </c>
      <c r="D30" s="102" t="s">
        <v>180</v>
      </c>
      <c r="E30" s="102">
        <v>9</v>
      </c>
      <c r="F30" s="102" t="s">
        <v>214</v>
      </c>
      <c r="G30" s="102" t="s">
        <v>177</v>
      </c>
      <c r="H30" s="102" t="s">
        <v>239</v>
      </c>
    </row>
    <row r="31" spans="1:8" ht="15" thickBot="1" x14ac:dyDescent="0.4">
      <c r="A31" s="5">
        <v>29</v>
      </c>
      <c r="B31" s="102">
        <v>20160703030107</v>
      </c>
      <c r="C31" s="102" t="s">
        <v>238</v>
      </c>
      <c r="D31" s="102" t="s">
        <v>180</v>
      </c>
      <c r="E31" s="102">
        <v>9</v>
      </c>
      <c r="F31" s="102" t="s">
        <v>214</v>
      </c>
      <c r="G31" s="102" t="s">
        <v>177</v>
      </c>
      <c r="H31" s="102" t="s">
        <v>239</v>
      </c>
    </row>
    <row r="32" spans="1:8" ht="15" thickBot="1" x14ac:dyDescent="0.4">
      <c r="A32" s="5">
        <v>30</v>
      </c>
      <c r="B32" s="102">
        <v>20160703020005</v>
      </c>
      <c r="C32" s="102" t="s">
        <v>240</v>
      </c>
      <c r="D32" s="102" t="s">
        <v>176</v>
      </c>
      <c r="E32" s="102">
        <v>9</v>
      </c>
      <c r="F32" s="102" t="s">
        <v>241</v>
      </c>
      <c r="G32" s="102" t="s">
        <v>226</v>
      </c>
      <c r="H32" s="102" t="s">
        <v>242</v>
      </c>
    </row>
    <row r="33" spans="1:8" ht="15" thickBot="1" x14ac:dyDescent="0.4">
      <c r="A33" s="5">
        <v>31</v>
      </c>
      <c r="B33" s="102">
        <v>20160703020218</v>
      </c>
      <c r="C33" s="102" t="s">
        <v>243</v>
      </c>
      <c r="D33" s="102" t="s">
        <v>176</v>
      </c>
      <c r="E33" s="102">
        <v>9</v>
      </c>
      <c r="F33" s="102" t="s">
        <v>201</v>
      </c>
      <c r="G33" s="102" t="s">
        <v>77</v>
      </c>
      <c r="H33" s="102" t="s">
        <v>244</v>
      </c>
    </row>
    <row r="34" spans="1:8" ht="15" thickBot="1" x14ac:dyDescent="0.4">
      <c r="A34" s="5">
        <v>32</v>
      </c>
      <c r="B34" s="102">
        <v>20160703020204</v>
      </c>
      <c r="C34" s="102" t="s">
        <v>245</v>
      </c>
      <c r="D34" s="102" t="s">
        <v>176</v>
      </c>
      <c r="E34" s="102">
        <v>9</v>
      </c>
      <c r="F34" s="102" t="s">
        <v>201</v>
      </c>
      <c r="G34" s="102" t="s">
        <v>53</v>
      </c>
      <c r="H34" s="102" t="s">
        <v>246</v>
      </c>
    </row>
    <row r="35" spans="1:8" ht="15" thickBot="1" x14ac:dyDescent="0.4">
      <c r="A35" s="5">
        <v>33</v>
      </c>
      <c r="B35" s="102">
        <v>20160703030030</v>
      </c>
      <c r="C35" s="102" t="s">
        <v>247</v>
      </c>
      <c r="D35" s="102" t="s">
        <v>180</v>
      </c>
      <c r="E35" s="102">
        <v>9</v>
      </c>
      <c r="F35" s="102" t="s">
        <v>22</v>
      </c>
      <c r="G35" s="102" t="s">
        <v>248</v>
      </c>
      <c r="H35" s="102" t="s">
        <v>249</v>
      </c>
    </row>
    <row r="36" spans="1:8" ht="15" thickBot="1" x14ac:dyDescent="0.4">
      <c r="A36" s="5">
        <v>34</v>
      </c>
      <c r="B36" s="102">
        <v>20160703040028</v>
      </c>
      <c r="C36" s="102" t="s">
        <v>250</v>
      </c>
      <c r="D36" s="102" t="s">
        <v>194</v>
      </c>
      <c r="E36" s="102">
        <v>9</v>
      </c>
      <c r="F36" s="102" t="s">
        <v>53</v>
      </c>
      <c r="G36" s="102" t="s">
        <v>71</v>
      </c>
      <c r="H36" s="102" t="s">
        <v>251</v>
      </c>
    </row>
    <row r="37" spans="1:8" ht="15" thickBot="1" x14ac:dyDescent="0.4">
      <c r="A37" s="5">
        <v>35</v>
      </c>
      <c r="B37" s="102">
        <v>18201503020163</v>
      </c>
      <c r="C37" s="102" t="s">
        <v>252</v>
      </c>
      <c r="D37" s="102" t="s">
        <v>176</v>
      </c>
      <c r="E37" s="102">
        <v>11</v>
      </c>
      <c r="F37" s="102" t="s">
        <v>75</v>
      </c>
      <c r="G37" s="102" t="s">
        <v>62</v>
      </c>
      <c r="H37" s="102" t="s">
        <v>253</v>
      </c>
    </row>
    <row r="38" spans="1:8" ht="15" thickBot="1" x14ac:dyDescent="0.4">
      <c r="A38" s="5">
        <v>36</v>
      </c>
      <c r="B38" s="102">
        <v>20160703020104</v>
      </c>
      <c r="C38" s="102" t="s">
        <v>254</v>
      </c>
      <c r="D38" s="102" t="s">
        <v>176</v>
      </c>
      <c r="E38" s="102">
        <v>9</v>
      </c>
      <c r="F38" s="102" t="s">
        <v>42</v>
      </c>
      <c r="G38" s="102" t="s">
        <v>53</v>
      </c>
      <c r="H38" s="102" t="s">
        <v>255</v>
      </c>
    </row>
    <row r="39" spans="1:8" ht="15" thickBot="1" x14ac:dyDescent="0.4">
      <c r="A39" s="5">
        <v>37</v>
      </c>
      <c r="B39" s="102">
        <v>20160703020043</v>
      </c>
      <c r="C39" s="102" t="s">
        <v>256</v>
      </c>
      <c r="D39" s="102" t="s">
        <v>176</v>
      </c>
      <c r="E39" s="102">
        <v>9</v>
      </c>
      <c r="F39" s="102" t="s">
        <v>53</v>
      </c>
      <c r="G39" s="102" t="s">
        <v>211</v>
      </c>
      <c r="H39" s="102" t="s">
        <v>257</v>
      </c>
    </row>
    <row r="40" spans="1:8" ht="15" thickBot="1" x14ac:dyDescent="0.4">
      <c r="A40" s="5">
        <v>38</v>
      </c>
      <c r="B40" s="102">
        <v>20170703032197</v>
      </c>
      <c r="C40" s="102" t="s">
        <v>258</v>
      </c>
      <c r="D40" s="102" t="s">
        <v>180</v>
      </c>
      <c r="E40" s="102">
        <v>7</v>
      </c>
      <c r="F40" s="102" t="s">
        <v>62</v>
      </c>
      <c r="G40" s="102" t="s">
        <v>202</v>
      </c>
      <c r="H40" s="102" t="s">
        <v>259</v>
      </c>
    </row>
    <row r="41" spans="1:8" ht="15" thickBot="1" x14ac:dyDescent="0.4">
      <c r="A41" s="5">
        <v>39</v>
      </c>
      <c r="B41" s="102">
        <v>20170703032093</v>
      </c>
      <c r="C41" s="102" t="s">
        <v>260</v>
      </c>
      <c r="D41" s="102" t="s">
        <v>180</v>
      </c>
      <c r="E41" s="102">
        <v>7</v>
      </c>
      <c r="F41" s="102" t="s">
        <v>53</v>
      </c>
      <c r="G41" s="102" t="s">
        <v>50</v>
      </c>
      <c r="H41" s="102" t="s">
        <v>261</v>
      </c>
    </row>
    <row r="42" spans="1:8" ht="15" thickBot="1" x14ac:dyDescent="0.4">
      <c r="A42" s="5">
        <v>40</v>
      </c>
      <c r="B42" s="102">
        <v>18201503030064</v>
      </c>
      <c r="C42" s="102" t="s">
        <v>262</v>
      </c>
      <c r="D42" s="102" t="s">
        <v>180</v>
      </c>
      <c r="E42" s="102">
        <v>11</v>
      </c>
      <c r="F42" s="102" t="s">
        <v>59</v>
      </c>
      <c r="G42" s="102" t="s">
        <v>50</v>
      </c>
      <c r="H42" s="102" t="s">
        <v>263</v>
      </c>
    </row>
    <row r="43" spans="1:8" ht="15" thickBot="1" x14ac:dyDescent="0.4">
      <c r="A43" s="5">
        <v>41</v>
      </c>
      <c r="B43" s="102">
        <v>20170703032100</v>
      </c>
      <c r="C43" s="102" t="s">
        <v>264</v>
      </c>
      <c r="D43" s="102" t="s">
        <v>180</v>
      </c>
      <c r="E43" s="102">
        <v>7</v>
      </c>
      <c r="F43" s="102" t="s">
        <v>265</v>
      </c>
      <c r="G43" s="102" t="s">
        <v>59</v>
      </c>
      <c r="H43" s="102" t="s">
        <v>266</v>
      </c>
    </row>
    <row r="44" spans="1:8" ht="15" thickBot="1" x14ac:dyDescent="0.4">
      <c r="A44" s="5">
        <v>42</v>
      </c>
      <c r="B44" s="102">
        <v>18201503030027</v>
      </c>
      <c r="C44" s="102" t="s">
        <v>267</v>
      </c>
      <c r="D44" s="102" t="s">
        <v>180</v>
      </c>
      <c r="E44" s="102">
        <v>11</v>
      </c>
      <c r="F44" s="102" t="s">
        <v>25</v>
      </c>
      <c r="G44" s="102" t="s">
        <v>59</v>
      </c>
      <c r="H44" s="102" t="s">
        <v>268</v>
      </c>
    </row>
    <row r="45" spans="1:8" ht="15" thickBot="1" x14ac:dyDescent="0.4">
      <c r="A45" s="5">
        <v>43</v>
      </c>
      <c r="B45" s="102">
        <v>20160703020008</v>
      </c>
      <c r="C45" s="102" t="s">
        <v>269</v>
      </c>
      <c r="D45" s="102" t="s">
        <v>176</v>
      </c>
      <c r="E45" s="102">
        <v>9</v>
      </c>
      <c r="F45" s="102" t="s">
        <v>241</v>
      </c>
      <c r="G45" s="102" t="s">
        <v>59</v>
      </c>
      <c r="H45" s="102" t="s">
        <v>270</v>
      </c>
    </row>
    <row r="46" spans="1:8" ht="15" thickBot="1" x14ac:dyDescent="0.4">
      <c r="A46" s="5">
        <v>44</v>
      </c>
      <c r="B46" s="102">
        <v>18201503020124</v>
      </c>
      <c r="C46" s="102" t="s">
        <v>271</v>
      </c>
      <c r="D46" s="102" t="s">
        <v>176</v>
      </c>
      <c r="E46" s="102">
        <v>11</v>
      </c>
      <c r="F46" s="102" t="s">
        <v>59</v>
      </c>
      <c r="G46" s="102" t="s">
        <v>39</v>
      </c>
      <c r="H46" s="102" t="s">
        <v>272</v>
      </c>
    </row>
    <row r="47" spans="1:8" ht="15" thickBot="1" x14ac:dyDescent="0.4">
      <c r="A47" s="5">
        <v>45</v>
      </c>
      <c r="B47" s="102">
        <v>18201503020124</v>
      </c>
      <c r="C47" s="102" t="s">
        <v>271</v>
      </c>
      <c r="D47" s="102" t="s">
        <v>176</v>
      </c>
      <c r="E47" s="102">
        <v>11</v>
      </c>
      <c r="F47" s="102" t="s">
        <v>59</v>
      </c>
      <c r="G47" s="102" t="s">
        <v>39</v>
      </c>
      <c r="H47" s="102" t="s">
        <v>272</v>
      </c>
    </row>
    <row r="48" spans="1:8" ht="15" thickBot="1" x14ac:dyDescent="0.4">
      <c r="A48" s="5">
        <v>46</v>
      </c>
      <c r="B48" s="102">
        <v>20170703032031</v>
      </c>
      <c r="C48" s="102" t="s">
        <v>273</v>
      </c>
      <c r="D48" s="102" t="s">
        <v>180</v>
      </c>
      <c r="E48" s="102">
        <v>7</v>
      </c>
      <c r="F48" s="102" t="s">
        <v>71</v>
      </c>
      <c r="G48" s="102" t="s">
        <v>69</v>
      </c>
      <c r="H48" s="102" t="s">
        <v>274</v>
      </c>
    </row>
    <row r="49" spans="1:8" ht="15" thickBot="1" x14ac:dyDescent="0.4">
      <c r="A49" s="5">
        <v>47</v>
      </c>
      <c r="B49" s="102">
        <v>20160703020188</v>
      </c>
      <c r="C49" s="102" t="s">
        <v>275</v>
      </c>
      <c r="D49" s="102" t="s">
        <v>176</v>
      </c>
      <c r="E49" s="102">
        <v>9</v>
      </c>
      <c r="F49" s="102" t="s">
        <v>39</v>
      </c>
      <c r="G49" s="102" t="s">
        <v>62</v>
      </c>
      <c r="H49" s="102" t="s">
        <v>276</v>
      </c>
    </row>
    <row r="50" spans="1:8" ht="15" thickBot="1" x14ac:dyDescent="0.4">
      <c r="A50" s="5">
        <v>48</v>
      </c>
      <c r="B50" s="102">
        <v>20160703020101</v>
      </c>
      <c r="C50" s="102" t="s">
        <v>277</v>
      </c>
      <c r="D50" s="102" t="s">
        <v>176</v>
      </c>
      <c r="E50" s="102">
        <v>9</v>
      </c>
      <c r="F50" s="102" t="s">
        <v>42</v>
      </c>
      <c r="G50" s="102" t="s">
        <v>211</v>
      </c>
      <c r="H50" s="102" t="s">
        <v>278</v>
      </c>
    </row>
    <row r="51" spans="1:8" ht="15" thickBot="1" x14ac:dyDescent="0.4">
      <c r="A51" s="5">
        <v>49</v>
      </c>
      <c r="B51" s="102">
        <v>20160703020062</v>
      </c>
      <c r="C51" s="102" t="s">
        <v>279</v>
      </c>
      <c r="D51" s="102" t="s">
        <v>176</v>
      </c>
      <c r="E51" s="102">
        <v>9</v>
      </c>
      <c r="F51" s="102" t="s">
        <v>62</v>
      </c>
      <c r="G51" s="102" t="s">
        <v>25</v>
      </c>
      <c r="H51" s="102" t="s">
        <v>280</v>
      </c>
    </row>
    <row r="52" spans="1:8" ht="15" thickBot="1" x14ac:dyDescent="0.4">
      <c r="A52" s="5">
        <v>50</v>
      </c>
      <c r="B52" s="102">
        <v>20160703030151</v>
      </c>
      <c r="C52" s="102" t="s">
        <v>281</v>
      </c>
      <c r="D52" s="102" t="s">
        <v>180</v>
      </c>
      <c r="E52" s="102">
        <v>9</v>
      </c>
      <c r="F52" s="102" t="s">
        <v>241</v>
      </c>
      <c r="G52" s="102" t="s">
        <v>22</v>
      </c>
      <c r="H52" s="102" t="s">
        <v>282</v>
      </c>
    </row>
    <row r="53" spans="1:8" ht="15" thickBot="1" x14ac:dyDescent="0.4">
      <c r="A53" s="5">
        <v>51</v>
      </c>
      <c r="B53" s="102">
        <v>20160703030109</v>
      </c>
      <c r="C53" s="102" t="s">
        <v>283</v>
      </c>
      <c r="D53" s="102" t="s">
        <v>180</v>
      </c>
      <c r="E53" s="102">
        <v>9</v>
      </c>
      <c r="F53" s="102" t="s">
        <v>25</v>
      </c>
      <c r="G53" s="102" t="s">
        <v>42</v>
      </c>
      <c r="H53" s="102" t="s">
        <v>284</v>
      </c>
    </row>
    <row r="54" spans="1:8" ht="15" thickBot="1" x14ac:dyDescent="0.4">
      <c r="A54" s="5">
        <v>52</v>
      </c>
      <c r="B54" s="102">
        <v>20170703032012</v>
      </c>
      <c r="C54" s="102" t="s">
        <v>285</v>
      </c>
      <c r="D54" s="102" t="s">
        <v>180</v>
      </c>
      <c r="E54" s="102">
        <v>7</v>
      </c>
      <c r="F54" s="102" t="s">
        <v>69</v>
      </c>
      <c r="G54" s="102" t="s">
        <v>177</v>
      </c>
      <c r="H54" s="102" t="s">
        <v>286</v>
      </c>
    </row>
    <row r="55" spans="1:8" ht="15" thickBot="1" x14ac:dyDescent="0.4">
      <c r="A55" s="5">
        <v>53</v>
      </c>
      <c r="B55" s="102">
        <v>20170703032184</v>
      </c>
      <c r="C55" s="102" t="s">
        <v>287</v>
      </c>
      <c r="D55" s="102" t="s">
        <v>180</v>
      </c>
      <c r="E55" s="102">
        <v>7</v>
      </c>
      <c r="F55" s="102" t="s">
        <v>69</v>
      </c>
      <c r="G55" s="102" t="s">
        <v>71</v>
      </c>
      <c r="H55" s="102" t="s">
        <v>288</v>
      </c>
    </row>
    <row r="56" spans="1:8" ht="15" thickBot="1" x14ac:dyDescent="0.4">
      <c r="A56" s="5">
        <v>54</v>
      </c>
      <c r="B56" s="102">
        <v>20170703032027</v>
      </c>
      <c r="C56" s="102" t="s">
        <v>289</v>
      </c>
      <c r="D56" s="102" t="s">
        <v>180</v>
      </c>
      <c r="E56" s="102">
        <v>7</v>
      </c>
      <c r="F56" s="102" t="s">
        <v>265</v>
      </c>
      <c r="G56" s="102" t="s">
        <v>22</v>
      </c>
      <c r="H56" s="102" t="s">
        <v>290</v>
      </c>
    </row>
    <row r="57" spans="1:8" ht="15" thickBot="1" x14ac:dyDescent="0.4">
      <c r="A57" s="5">
        <v>55</v>
      </c>
      <c r="B57" s="102">
        <v>20170703032103</v>
      </c>
      <c r="C57" s="102" t="s">
        <v>291</v>
      </c>
      <c r="D57" s="102" t="s">
        <v>180</v>
      </c>
      <c r="E57" s="102">
        <v>7</v>
      </c>
      <c r="F57" s="102" t="s">
        <v>62</v>
      </c>
      <c r="G57" s="102" t="s">
        <v>69</v>
      </c>
      <c r="H57" s="102" t="s">
        <v>292</v>
      </c>
    </row>
    <row r="58" spans="1:8" ht="15" thickBot="1" x14ac:dyDescent="0.4">
      <c r="A58" s="5">
        <v>56</v>
      </c>
      <c r="B58" s="102">
        <v>20170703031071</v>
      </c>
      <c r="C58" s="102" t="s">
        <v>293</v>
      </c>
      <c r="D58" s="102" t="s">
        <v>180</v>
      </c>
      <c r="E58" s="102">
        <v>7</v>
      </c>
      <c r="F58" s="102" t="s">
        <v>69</v>
      </c>
      <c r="G58" s="102" t="s">
        <v>294</v>
      </c>
      <c r="H58" s="102" t="s">
        <v>295</v>
      </c>
    </row>
    <row r="59" spans="1:8" ht="15" thickBot="1" x14ac:dyDescent="0.4">
      <c r="A59" s="5">
        <v>57</v>
      </c>
      <c r="B59" s="102">
        <v>20160703030081</v>
      </c>
      <c r="C59" s="102" t="s">
        <v>296</v>
      </c>
      <c r="D59" s="102" t="s">
        <v>180</v>
      </c>
      <c r="E59" s="102">
        <v>9</v>
      </c>
      <c r="F59" s="102" t="s">
        <v>62</v>
      </c>
      <c r="G59" s="102" t="s">
        <v>22</v>
      </c>
      <c r="H59" s="102" t="s">
        <v>297</v>
      </c>
    </row>
    <row r="60" spans="1:8" ht="15" thickBot="1" x14ac:dyDescent="0.4">
      <c r="A60" s="5">
        <v>58</v>
      </c>
      <c r="B60" s="102">
        <v>20170703031035</v>
      </c>
      <c r="C60" s="102" t="s">
        <v>298</v>
      </c>
      <c r="D60" s="102" t="s">
        <v>180</v>
      </c>
      <c r="E60" s="102">
        <v>7</v>
      </c>
      <c r="F60" s="102" t="s">
        <v>59</v>
      </c>
      <c r="G60" s="102" t="s">
        <v>226</v>
      </c>
      <c r="H60" s="102" t="s">
        <v>299</v>
      </c>
    </row>
    <row r="61" spans="1:8" ht="15" thickBot="1" x14ac:dyDescent="0.4">
      <c r="A61" s="5">
        <v>59</v>
      </c>
      <c r="B61" s="102">
        <v>20170703032075</v>
      </c>
      <c r="C61" s="102" t="s">
        <v>300</v>
      </c>
      <c r="D61" s="102" t="s">
        <v>180</v>
      </c>
      <c r="E61" s="102">
        <v>7</v>
      </c>
      <c r="F61" s="102" t="s">
        <v>53</v>
      </c>
      <c r="G61" s="102" t="s">
        <v>71</v>
      </c>
      <c r="H61" s="102" t="s">
        <v>301</v>
      </c>
    </row>
    <row r="62" spans="1:8" ht="15" thickBot="1" x14ac:dyDescent="0.4">
      <c r="A62" s="5">
        <v>60</v>
      </c>
      <c r="B62" s="102">
        <v>20160703020042</v>
      </c>
      <c r="C62" s="102" t="s">
        <v>302</v>
      </c>
      <c r="D62" s="102" t="s">
        <v>176</v>
      </c>
      <c r="E62" s="102">
        <v>9</v>
      </c>
      <c r="F62" s="102" t="s">
        <v>22</v>
      </c>
      <c r="G62" s="102" t="s">
        <v>45</v>
      </c>
      <c r="H62" s="102" t="s">
        <v>303</v>
      </c>
    </row>
    <row r="63" spans="1:8" ht="15" thickBot="1" x14ac:dyDescent="0.4">
      <c r="A63" s="5">
        <v>61</v>
      </c>
      <c r="B63" s="102">
        <v>20170703042043</v>
      </c>
      <c r="C63" s="102" t="s">
        <v>304</v>
      </c>
      <c r="D63" s="102" t="s">
        <v>194</v>
      </c>
      <c r="E63" s="102">
        <v>7</v>
      </c>
      <c r="F63" s="102" t="s">
        <v>191</v>
      </c>
      <c r="G63" s="102" t="s">
        <v>22</v>
      </c>
      <c r="H63" s="102" t="s">
        <v>305</v>
      </c>
    </row>
    <row r="64" spans="1:8" ht="15" thickBot="1" x14ac:dyDescent="0.4">
      <c r="A64" s="5">
        <v>62</v>
      </c>
      <c r="B64" s="102">
        <v>20160703020114</v>
      </c>
      <c r="C64" s="102" t="s">
        <v>306</v>
      </c>
      <c r="D64" s="102" t="s">
        <v>176</v>
      </c>
      <c r="E64" s="102">
        <v>9</v>
      </c>
      <c r="F64" s="102" t="s">
        <v>214</v>
      </c>
      <c r="G64" s="102" t="s">
        <v>307</v>
      </c>
      <c r="H64" s="102" t="s">
        <v>308</v>
      </c>
    </row>
    <row r="65" spans="1:8" ht="15" thickBot="1" x14ac:dyDescent="0.4">
      <c r="A65" s="5">
        <v>63</v>
      </c>
      <c r="B65" s="102">
        <v>18201503020044</v>
      </c>
      <c r="C65" s="102" t="s">
        <v>309</v>
      </c>
      <c r="D65" s="102" t="s">
        <v>176</v>
      </c>
      <c r="E65" s="102">
        <v>11</v>
      </c>
      <c r="F65" s="102" t="s">
        <v>42</v>
      </c>
      <c r="G65" s="102" t="s">
        <v>71</v>
      </c>
      <c r="H65" s="102" t="s">
        <v>310</v>
      </c>
    </row>
    <row r="66" spans="1:8" ht="15" thickBot="1" x14ac:dyDescent="0.4">
      <c r="A66" s="5">
        <v>64</v>
      </c>
      <c r="B66" s="102">
        <v>20160703020086</v>
      </c>
      <c r="C66" s="102" t="s">
        <v>311</v>
      </c>
      <c r="D66" s="102" t="s">
        <v>176</v>
      </c>
      <c r="E66" s="102">
        <v>9</v>
      </c>
      <c r="F66" s="102" t="s">
        <v>42</v>
      </c>
      <c r="G66" s="102" t="s">
        <v>28</v>
      </c>
      <c r="H66" s="102" t="s">
        <v>312</v>
      </c>
    </row>
    <row r="67" spans="1:8" ht="15" thickBot="1" x14ac:dyDescent="0.4">
      <c r="A67" s="5">
        <v>65</v>
      </c>
      <c r="B67" s="102">
        <v>20170703032195</v>
      </c>
      <c r="C67" s="102" t="s">
        <v>313</v>
      </c>
      <c r="D67" s="102" t="s">
        <v>180</v>
      </c>
      <c r="E67" s="102">
        <v>7</v>
      </c>
      <c r="F67" s="102" t="s">
        <v>59</v>
      </c>
      <c r="G67" s="102" t="s">
        <v>69</v>
      </c>
      <c r="H67" s="102" t="s">
        <v>314</v>
      </c>
    </row>
    <row r="68" spans="1:8" ht="15" thickBot="1" x14ac:dyDescent="0.4">
      <c r="A68" s="5">
        <v>66</v>
      </c>
      <c r="B68" s="102">
        <v>20160703020125</v>
      </c>
      <c r="C68" s="102" t="s">
        <v>315</v>
      </c>
      <c r="D68" s="102" t="s">
        <v>176</v>
      </c>
      <c r="E68" s="102">
        <v>9</v>
      </c>
      <c r="F68" s="102" t="s">
        <v>214</v>
      </c>
      <c r="G68" s="102" t="s">
        <v>39</v>
      </c>
      <c r="H68" s="102" t="s">
        <v>316</v>
      </c>
    </row>
    <row r="69" spans="1:8" ht="15" thickBot="1" x14ac:dyDescent="0.4">
      <c r="A69" s="5">
        <v>67</v>
      </c>
      <c r="B69" s="102">
        <v>20160703030101</v>
      </c>
      <c r="C69" s="102" t="s">
        <v>317</v>
      </c>
      <c r="D69" s="102" t="s">
        <v>180</v>
      </c>
      <c r="E69" s="102">
        <v>9</v>
      </c>
      <c r="F69" s="102" t="s">
        <v>42</v>
      </c>
      <c r="G69" s="102" t="s">
        <v>31</v>
      </c>
      <c r="H69" s="102" t="s">
        <v>318</v>
      </c>
    </row>
    <row r="70" spans="1:8" ht="15" thickBot="1" x14ac:dyDescent="0.4">
      <c r="A70" s="5">
        <v>68</v>
      </c>
      <c r="B70" s="102">
        <v>18201503030129</v>
      </c>
      <c r="C70" s="102" t="s">
        <v>319</v>
      </c>
      <c r="D70" s="102" t="s">
        <v>180</v>
      </c>
      <c r="E70" s="102">
        <v>11</v>
      </c>
      <c r="F70" s="102" t="s">
        <v>19</v>
      </c>
      <c r="G70" s="102" t="s">
        <v>202</v>
      </c>
      <c r="H70" s="102" t="s">
        <v>320</v>
      </c>
    </row>
    <row r="71" spans="1:8" ht="15" thickBot="1" x14ac:dyDescent="0.4">
      <c r="A71" s="5">
        <v>69</v>
      </c>
      <c r="B71" s="102">
        <v>20160703020206</v>
      </c>
      <c r="C71" s="102" t="s">
        <v>321</v>
      </c>
      <c r="D71" s="102" t="s">
        <v>176</v>
      </c>
      <c r="E71" s="102">
        <v>9</v>
      </c>
      <c r="F71" s="102" t="s">
        <v>201</v>
      </c>
      <c r="G71" s="102" t="s">
        <v>22</v>
      </c>
      <c r="H71" s="102" t="s">
        <v>322</v>
      </c>
    </row>
    <row r="72" spans="1:8" ht="15" thickBot="1" x14ac:dyDescent="0.4">
      <c r="A72" s="5">
        <v>70</v>
      </c>
      <c r="B72" s="102">
        <v>20160703020119</v>
      </c>
      <c r="C72" s="102" t="s">
        <v>323</v>
      </c>
      <c r="D72" s="102" t="s">
        <v>176</v>
      </c>
      <c r="E72" s="102">
        <v>9</v>
      </c>
      <c r="F72" s="102" t="s">
        <v>202</v>
      </c>
      <c r="G72" s="102" t="s">
        <v>42</v>
      </c>
      <c r="H72" s="102" t="s">
        <v>324</v>
      </c>
    </row>
    <row r="73" spans="1:8" ht="15" thickBot="1" x14ac:dyDescent="0.4">
      <c r="A73" s="5">
        <v>71</v>
      </c>
      <c r="B73" s="102">
        <v>20170703042092</v>
      </c>
      <c r="C73" s="102" t="s">
        <v>325</v>
      </c>
      <c r="D73" s="102" t="s">
        <v>194</v>
      </c>
      <c r="E73" s="102">
        <v>7</v>
      </c>
      <c r="F73" s="102" t="s">
        <v>265</v>
      </c>
      <c r="G73" s="102" t="s">
        <v>25</v>
      </c>
      <c r="H73" s="102" t="s">
        <v>326</v>
      </c>
    </row>
    <row r="74" spans="1:8" ht="15" thickBot="1" x14ac:dyDescent="0.4">
      <c r="A74" s="5">
        <v>72</v>
      </c>
      <c r="B74" s="102">
        <v>20160703020065</v>
      </c>
      <c r="C74" s="102" t="s">
        <v>327</v>
      </c>
      <c r="D74" s="102" t="s">
        <v>176</v>
      </c>
      <c r="E74" s="102">
        <v>9</v>
      </c>
      <c r="F74" s="102" t="s">
        <v>191</v>
      </c>
      <c r="G74" s="102" t="s">
        <v>39</v>
      </c>
      <c r="H74" s="102" t="s">
        <v>328</v>
      </c>
    </row>
    <row r="75" spans="1:8" ht="15" thickBot="1" x14ac:dyDescent="0.4">
      <c r="A75" s="5">
        <v>73</v>
      </c>
      <c r="B75" s="102">
        <v>18201503040065</v>
      </c>
      <c r="C75" s="102" t="s">
        <v>329</v>
      </c>
      <c r="D75" s="102" t="s">
        <v>194</v>
      </c>
      <c r="E75" s="102">
        <v>11</v>
      </c>
      <c r="F75" s="102" t="s">
        <v>214</v>
      </c>
      <c r="G75" s="102" t="s">
        <v>67</v>
      </c>
      <c r="H75" s="102" t="s">
        <v>330</v>
      </c>
    </row>
    <row r="76" spans="1:8" ht="15" thickBot="1" x14ac:dyDescent="0.4">
      <c r="A76" s="5">
        <v>74</v>
      </c>
      <c r="B76" s="102">
        <v>20160703020180</v>
      </c>
      <c r="C76" s="102" t="s">
        <v>331</v>
      </c>
      <c r="D76" s="102" t="s">
        <v>176</v>
      </c>
      <c r="E76" s="102">
        <v>9</v>
      </c>
      <c r="F76" s="102" t="s">
        <v>39</v>
      </c>
      <c r="G76" s="102" t="s">
        <v>59</v>
      </c>
      <c r="H76" s="102" t="s">
        <v>332</v>
      </c>
    </row>
    <row r="77" spans="1:8" ht="15" thickBot="1" x14ac:dyDescent="0.4">
      <c r="A77" s="5">
        <v>75</v>
      </c>
      <c r="B77" s="102">
        <v>20170703042107</v>
      </c>
      <c r="C77" s="102" t="s">
        <v>333</v>
      </c>
      <c r="D77" s="102" t="s">
        <v>194</v>
      </c>
      <c r="E77" s="102">
        <v>7</v>
      </c>
      <c r="F77" s="102" t="s">
        <v>67</v>
      </c>
      <c r="G77" s="102" t="s">
        <v>22</v>
      </c>
      <c r="H77" s="102" t="s">
        <v>334</v>
      </c>
    </row>
    <row r="78" spans="1:8" ht="15" thickBot="1" x14ac:dyDescent="0.4">
      <c r="A78" s="5">
        <v>76</v>
      </c>
      <c r="B78" s="102">
        <v>20160703020006</v>
      </c>
      <c r="C78" s="102" t="s">
        <v>335</v>
      </c>
      <c r="D78" s="102" t="s">
        <v>176</v>
      </c>
      <c r="E78" s="102">
        <v>9</v>
      </c>
      <c r="F78" s="102" t="s">
        <v>77</v>
      </c>
      <c r="G78" s="102" t="s">
        <v>59</v>
      </c>
      <c r="H78" s="102" t="s">
        <v>336</v>
      </c>
    </row>
    <row r="79" spans="1:8" ht="15" thickBot="1" x14ac:dyDescent="0.4">
      <c r="A79" s="5">
        <v>77</v>
      </c>
      <c r="B79" s="102">
        <v>20160703020006</v>
      </c>
      <c r="C79" s="102" t="s">
        <v>335</v>
      </c>
      <c r="D79" s="102" t="s">
        <v>176</v>
      </c>
      <c r="E79" s="102">
        <v>9</v>
      </c>
      <c r="F79" s="102" t="s">
        <v>77</v>
      </c>
      <c r="G79" s="102" t="s">
        <v>59</v>
      </c>
      <c r="H79" s="102" t="s">
        <v>336</v>
      </c>
    </row>
    <row r="80" spans="1:8" ht="15" thickBot="1" x14ac:dyDescent="0.4">
      <c r="A80" s="5">
        <v>78</v>
      </c>
      <c r="B80" s="102">
        <v>20160703020093</v>
      </c>
      <c r="C80" s="102" t="s">
        <v>337</v>
      </c>
      <c r="D80" s="102" t="s">
        <v>176</v>
      </c>
      <c r="E80" s="102">
        <v>9</v>
      </c>
      <c r="F80" s="102" t="s">
        <v>265</v>
      </c>
      <c r="G80" s="102" t="s">
        <v>25</v>
      </c>
      <c r="H80" s="102" t="s">
        <v>338</v>
      </c>
    </row>
    <row r="81" spans="1:8" ht="15" thickBot="1" x14ac:dyDescent="0.4">
      <c r="A81" s="5">
        <v>79</v>
      </c>
      <c r="B81" s="102">
        <v>20160703030031</v>
      </c>
      <c r="C81" s="102" t="s">
        <v>339</v>
      </c>
      <c r="D81" s="102" t="s">
        <v>180</v>
      </c>
      <c r="E81" s="102">
        <v>9</v>
      </c>
      <c r="F81" s="102" t="s">
        <v>25</v>
      </c>
      <c r="G81" s="102" t="s">
        <v>294</v>
      </c>
      <c r="H81" s="102" t="s">
        <v>340</v>
      </c>
    </row>
    <row r="82" spans="1:8" ht="15" thickBot="1" x14ac:dyDescent="0.4">
      <c r="A82" s="5">
        <v>80</v>
      </c>
      <c r="B82" s="102">
        <v>20160703020215</v>
      </c>
      <c r="C82" s="102" t="s">
        <v>341</v>
      </c>
      <c r="D82" s="102" t="s">
        <v>176</v>
      </c>
      <c r="E82" s="102">
        <v>9</v>
      </c>
      <c r="F82" s="102" t="s">
        <v>201</v>
      </c>
      <c r="G82" s="102" t="s">
        <v>59</v>
      </c>
      <c r="H82" s="102" t="s">
        <v>342</v>
      </c>
    </row>
    <row r="83" spans="1:8" ht="15" thickBot="1" x14ac:dyDescent="0.4">
      <c r="A83" s="5">
        <v>81</v>
      </c>
      <c r="B83" s="102">
        <v>20160703020091</v>
      </c>
      <c r="C83" s="102" t="s">
        <v>343</v>
      </c>
      <c r="D83" s="102" t="s">
        <v>176</v>
      </c>
      <c r="E83" s="102">
        <v>9</v>
      </c>
      <c r="F83" s="102" t="s">
        <v>42</v>
      </c>
      <c r="G83" s="102" t="s">
        <v>28</v>
      </c>
      <c r="H83" s="102" t="s">
        <v>344</v>
      </c>
    </row>
    <row r="84" spans="1:8" ht="15" thickBot="1" x14ac:dyDescent="0.4">
      <c r="A84" s="5">
        <v>82</v>
      </c>
      <c r="B84" s="102">
        <v>20160703020220</v>
      </c>
      <c r="C84" s="102" t="s">
        <v>345</v>
      </c>
      <c r="D84" s="102" t="s">
        <v>176</v>
      </c>
      <c r="E84" s="102">
        <v>9</v>
      </c>
      <c r="F84" s="102" t="s">
        <v>79</v>
      </c>
      <c r="G84" s="102" t="s">
        <v>19</v>
      </c>
      <c r="H84" s="102" t="s">
        <v>346</v>
      </c>
    </row>
    <row r="85" spans="1:8" ht="15" thickBot="1" x14ac:dyDescent="0.4">
      <c r="A85" s="5">
        <v>83</v>
      </c>
      <c r="B85" s="102">
        <v>20170703032091</v>
      </c>
      <c r="C85" s="102" t="s">
        <v>347</v>
      </c>
      <c r="D85" s="102" t="s">
        <v>180</v>
      </c>
      <c r="E85" s="102">
        <v>7</v>
      </c>
      <c r="F85" s="102" t="s">
        <v>69</v>
      </c>
      <c r="G85" s="102" t="s">
        <v>31</v>
      </c>
      <c r="H85" s="102" t="s">
        <v>348</v>
      </c>
    </row>
    <row r="86" spans="1:8" ht="15" thickBot="1" x14ac:dyDescent="0.4">
      <c r="A86" s="5">
        <v>84</v>
      </c>
      <c r="B86" s="102">
        <v>20160703030146</v>
      </c>
      <c r="C86" s="102" t="s">
        <v>349</v>
      </c>
      <c r="D86" s="102" t="s">
        <v>180</v>
      </c>
      <c r="E86" s="102">
        <v>9</v>
      </c>
      <c r="F86" s="102" t="s">
        <v>19</v>
      </c>
      <c r="G86" s="102" t="s">
        <v>202</v>
      </c>
      <c r="H86" s="102" t="s">
        <v>350</v>
      </c>
    </row>
    <row r="87" spans="1:8" ht="15" thickBot="1" x14ac:dyDescent="0.4">
      <c r="A87" s="5">
        <v>85</v>
      </c>
      <c r="B87" s="102">
        <v>20160703030088</v>
      </c>
      <c r="C87" s="102" t="s">
        <v>351</v>
      </c>
      <c r="D87" s="102" t="s">
        <v>180</v>
      </c>
      <c r="E87" s="102">
        <v>9</v>
      </c>
      <c r="F87" s="102" t="s">
        <v>71</v>
      </c>
      <c r="G87" s="102" t="s">
        <v>42</v>
      </c>
      <c r="H87" s="102" t="s">
        <v>352</v>
      </c>
    </row>
    <row r="88" spans="1:8" ht="15" thickBot="1" x14ac:dyDescent="0.4">
      <c r="A88" s="5">
        <v>86</v>
      </c>
      <c r="B88" s="102">
        <v>20170703042114</v>
      </c>
      <c r="C88" s="102" t="s">
        <v>353</v>
      </c>
      <c r="D88" s="102" t="s">
        <v>194</v>
      </c>
      <c r="E88" s="102">
        <v>7</v>
      </c>
      <c r="F88" s="102" t="s">
        <v>191</v>
      </c>
      <c r="G88" s="102" t="s">
        <v>354</v>
      </c>
      <c r="H88" s="102" t="s">
        <v>355</v>
      </c>
    </row>
    <row r="89" spans="1:8" ht="15" thickBot="1" x14ac:dyDescent="0.4">
      <c r="A89" s="5">
        <v>87</v>
      </c>
      <c r="B89" s="102">
        <v>20160703030049</v>
      </c>
      <c r="C89" s="102" t="s">
        <v>356</v>
      </c>
      <c r="D89" s="102" t="s">
        <v>180</v>
      </c>
      <c r="E89" s="102">
        <v>9</v>
      </c>
      <c r="F89" s="102" t="s">
        <v>25</v>
      </c>
      <c r="G89" s="102" t="s">
        <v>42</v>
      </c>
      <c r="H89" s="102" t="s">
        <v>357</v>
      </c>
    </row>
    <row r="90" spans="1:8" ht="15" thickBot="1" x14ac:dyDescent="0.4">
      <c r="A90" s="5">
        <v>88</v>
      </c>
      <c r="B90" s="102">
        <v>18201302020042</v>
      </c>
      <c r="C90" s="102" t="s">
        <v>358</v>
      </c>
      <c r="D90" s="102" t="s">
        <v>176</v>
      </c>
      <c r="E90" s="102">
        <v>14</v>
      </c>
      <c r="F90" s="102" t="s">
        <v>201</v>
      </c>
      <c r="G90" s="102" t="s">
        <v>202</v>
      </c>
      <c r="H90" s="102" t="s">
        <v>359</v>
      </c>
    </row>
    <row r="91" spans="1:8" ht="15" thickBot="1" x14ac:dyDescent="0.4">
      <c r="A91" s="5">
        <v>89</v>
      </c>
      <c r="B91" s="102">
        <v>20170703041035</v>
      </c>
      <c r="C91" s="102" t="s">
        <v>360</v>
      </c>
      <c r="D91" s="102" t="s">
        <v>194</v>
      </c>
      <c r="E91" s="102">
        <v>7</v>
      </c>
      <c r="F91" s="102" t="s">
        <v>34</v>
      </c>
      <c r="G91" s="102" t="s">
        <v>25</v>
      </c>
      <c r="H91" s="102" t="s">
        <v>361</v>
      </c>
    </row>
    <row r="92" spans="1:8" ht="15" thickBot="1" x14ac:dyDescent="0.4">
      <c r="A92" s="5">
        <v>90</v>
      </c>
      <c r="B92" s="102">
        <v>20160703020067</v>
      </c>
      <c r="C92" s="102" t="s">
        <v>362</v>
      </c>
      <c r="D92" s="102" t="s">
        <v>176</v>
      </c>
      <c r="E92" s="102">
        <v>9</v>
      </c>
      <c r="F92" s="102" t="s">
        <v>67</v>
      </c>
      <c r="G92" s="102" t="s">
        <v>307</v>
      </c>
      <c r="H92" s="102" t="s">
        <v>363</v>
      </c>
    </row>
    <row r="93" spans="1:8" ht="15" thickBot="1" x14ac:dyDescent="0.4">
      <c r="A93" s="5">
        <v>91</v>
      </c>
      <c r="B93" s="102">
        <v>18201302020113</v>
      </c>
      <c r="C93" s="102" t="s">
        <v>364</v>
      </c>
      <c r="D93" s="102" t="s">
        <v>176</v>
      </c>
      <c r="E93" s="102">
        <v>14</v>
      </c>
      <c r="F93" s="102" t="s">
        <v>42</v>
      </c>
      <c r="G93" s="102" t="s">
        <v>22</v>
      </c>
      <c r="H93" s="102" t="s">
        <v>365</v>
      </c>
    </row>
    <row r="94" spans="1:8" ht="15" thickBot="1" x14ac:dyDescent="0.4">
      <c r="A94" s="5">
        <v>92</v>
      </c>
      <c r="B94" s="102">
        <v>18201503020062</v>
      </c>
      <c r="C94" s="102" t="s">
        <v>366</v>
      </c>
      <c r="D94" s="102" t="s">
        <v>176</v>
      </c>
      <c r="E94" s="102">
        <v>11</v>
      </c>
      <c r="F94" s="102" t="s">
        <v>53</v>
      </c>
      <c r="G94" s="102" t="s">
        <v>28</v>
      </c>
      <c r="H94" s="102" t="s">
        <v>367</v>
      </c>
    </row>
    <row r="95" spans="1:8" ht="15" thickBot="1" x14ac:dyDescent="0.4">
      <c r="A95" s="5">
        <v>93</v>
      </c>
      <c r="B95" s="102">
        <v>18201503040008</v>
      </c>
      <c r="C95" s="102" t="s">
        <v>368</v>
      </c>
      <c r="D95" s="102" t="s">
        <v>194</v>
      </c>
      <c r="E95" s="102">
        <v>11</v>
      </c>
      <c r="F95" s="102" t="s">
        <v>53</v>
      </c>
      <c r="G95" s="102" t="s">
        <v>59</v>
      </c>
      <c r="H95" s="102" t="s">
        <v>369</v>
      </c>
    </row>
    <row r="96" spans="1:8" ht="15" thickBot="1" x14ac:dyDescent="0.4">
      <c r="A96" s="5">
        <v>94</v>
      </c>
      <c r="B96" s="102">
        <v>20160703020028</v>
      </c>
      <c r="C96" s="102" t="s">
        <v>370</v>
      </c>
      <c r="D96" s="102" t="s">
        <v>176</v>
      </c>
      <c r="E96" s="102">
        <v>9</v>
      </c>
      <c r="F96" s="102" t="s">
        <v>241</v>
      </c>
      <c r="G96" s="102" t="s">
        <v>22</v>
      </c>
      <c r="H96" s="102" t="s">
        <v>371</v>
      </c>
    </row>
    <row r="97" spans="1:8" ht="15" thickBot="1" x14ac:dyDescent="0.4">
      <c r="A97" s="5">
        <v>95</v>
      </c>
      <c r="B97" s="102">
        <v>18201302020042</v>
      </c>
      <c r="C97" s="102" t="s">
        <v>358</v>
      </c>
      <c r="D97" s="102" t="s">
        <v>176</v>
      </c>
      <c r="E97" s="102">
        <v>14</v>
      </c>
      <c r="F97" s="102" t="s">
        <v>201</v>
      </c>
      <c r="G97" s="102" t="s">
        <v>202</v>
      </c>
      <c r="H97" s="102" t="s">
        <v>359</v>
      </c>
    </row>
    <row r="98" spans="1:8" ht="15" thickBot="1" x14ac:dyDescent="0.4">
      <c r="A98" s="5">
        <v>96</v>
      </c>
      <c r="B98" s="102">
        <v>18201302020042</v>
      </c>
      <c r="C98" s="102" t="s">
        <v>358</v>
      </c>
      <c r="D98" s="102" t="s">
        <v>176</v>
      </c>
      <c r="E98" s="102">
        <v>14</v>
      </c>
      <c r="F98" s="102" t="s">
        <v>201</v>
      </c>
      <c r="G98" s="102" t="s">
        <v>202</v>
      </c>
      <c r="H98" s="102" t="s">
        <v>359</v>
      </c>
    </row>
    <row r="99" spans="1:8" ht="15" thickBot="1" x14ac:dyDescent="0.4">
      <c r="A99" s="5">
        <v>97</v>
      </c>
      <c r="B99" s="102">
        <v>18201302020042</v>
      </c>
      <c r="C99" s="102" t="s">
        <v>358</v>
      </c>
      <c r="D99" s="102" t="s">
        <v>176</v>
      </c>
      <c r="E99" s="102">
        <v>14</v>
      </c>
      <c r="F99" s="102" t="s">
        <v>201</v>
      </c>
      <c r="G99" s="102" t="s">
        <v>202</v>
      </c>
      <c r="H99" s="102" t="s">
        <v>359</v>
      </c>
    </row>
    <row r="100" spans="1:8" ht="15" thickBot="1" x14ac:dyDescent="0.4">
      <c r="A100" s="5">
        <v>98</v>
      </c>
      <c r="B100" s="102">
        <v>20170703032181</v>
      </c>
      <c r="C100" s="102" t="s">
        <v>372</v>
      </c>
      <c r="D100" s="102" t="s">
        <v>180</v>
      </c>
      <c r="E100" s="102">
        <v>7</v>
      </c>
      <c r="F100" s="102" t="s">
        <v>373</v>
      </c>
      <c r="G100" s="102" t="s">
        <v>53</v>
      </c>
      <c r="H100" s="102" t="s">
        <v>374</v>
      </c>
    </row>
    <row r="101" spans="1:8" ht="15" thickBot="1" x14ac:dyDescent="0.4">
      <c r="A101" s="5">
        <v>99</v>
      </c>
      <c r="B101" s="102">
        <v>18201302020131</v>
      </c>
      <c r="C101" s="102" t="s">
        <v>375</v>
      </c>
      <c r="D101" s="102" t="s">
        <v>176</v>
      </c>
      <c r="E101" s="102">
        <v>14</v>
      </c>
      <c r="F101" s="102" t="s">
        <v>22</v>
      </c>
      <c r="G101" s="102" t="s">
        <v>28</v>
      </c>
      <c r="H101" s="102" t="s">
        <v>376</v>
      </c>
    </row>
    <row r="102" spans="1:8" ht="15" thickBot="1" x14ac:dyDescent="0.4">
      <c r="A102" s="5">
        <v>100</v>
      </c>
      <c r="B102" s="102">
        <v>18201503020062</v>
      </c>
      <c r="C102" s="102" t="s">
        <v>366</v>
      </c>
      <c r="D102" s="102" t="s">
        <v>176</v>
      </c>
      <c r="E102" s="102">
        <v>11</v>
      </c>
      <c r="F102" s="102" t="s">
        <v>53</v>
      </c>
      <c r="G102" s="102" t="s">
        <v>28</v>
      </c>
      <c r="H102" s="102" t="s">
        <v>377</v>
      </c>
    </row>
    <row r="103" spans="1:8" ht="15" thickBot="1" x14ac:dyDescent="0.4">
      <c r="A103" s="5">
        <v>101</v>
      </c>
      <c r="B103" s="102">
        <v>20160703030093</v>
      </c>
      <c r="C103" s="102" t="s">
        <v>378</v>
      </c>
      <c r="D103" s="102" t="s">
        <v>180</v>
      </c>
      <c r="E103" s="102">
        <v>9</v>
      </c>
      <c r="F103" s="102" t="s">
        <v>202</v>
      </c>
      <c r="G103" s="102" t="s">
        <v>53</v>
      </c>
      <c r="H103" s="102" t="s">
        <v>379</v>
      </c>
    </row>
    <row r="104" spans="1:8" ht="15" thickBot="1" x14ac:dyDescent="0.4">
      <c r="A104" s="5">
        <v>102</v>
      </c>
      <c r="B104" s="102">
        <v>20170703042118</v>
      </c>
      <c r="C104" s="102" t="s">
        <v>380</v>
      </c>
      <c r="D104" s="102" t="s">
        <v>194</v>
      </c>
      <c r="E104" s="102">
        <v>7</v>
      </c>
      <c r="F104" s="102" t="s">
        <v>75</v>
      </c>
      <c r="G104" s="102" t="s">
        <v>34</v>
      </c>
      <c r="H104" s="102" t="s">
        <v>381</v>
      </c>
    </row>
    <row r="105" spans="1:8" ht="15" thickBot="1" x14ac:dyDescent="0.4">
      <c r="A105" s="5">
        <v>103</v>
      </c>
      <c r="B105" s="102">
        <v>20170703022183</v>
      </c>
      <c r="C105" s="102" t="s">
        <v>382</v>
      </c>
      <c r="D105" s="102" t="s">
        <v>176</v>
      </c>
      <c r="E105" s="102">
        <v>7</v>
      </c>
      <c r="F105" s="102" t="s">
        <v>59</v>
      </c>
      <c r="G105" s="102" t="s">
        <v>211</v>
      </c>
      <c r="H105" s="102" t="s">
        <v>383</v>
      </c>
    </row>
    <row r="106" spans="1:8" ht="15" thickBot="1" x14ac:dyDescent="0.4">
      <c r="A106" s="5">
        <v>104</v>
      </c>
      <c r="B106" s="102">
        <v>20160703030042</v>
      </c>
      <c r="C106" s="102" t="s">
        <v>384</v>
      </c>
      <c r="D106" s="102" t="s">
        <v>180</v>
      </c>
      <c r="E106" s="102">
        <v>9</v>
      </c>
      <c r="F106" s="102" t="s">
        <v>77</v>
      </c>
      <c r="G106" s="102" t="s">
        <v>45</v>
      </c>
      <c r="H106" s="102" t="s">
        <v>385</v>
      </c>
    </row>
    <row r="107" spans="1:8" ht="15" thickBot="1" x14ac:dyDescent="0.4">
      <c r="A107" s="5">
        <v>105</v>
      </c>
      <c r="B107" s="102">
        <v>20170703022052</v>
      </c>
      <c r="C107" s="102" t="s">
        <v>386</v>
      </c>
      <c r="D107" s="102" t="s">
        <v>176</v>
      </c>
      <c r="E107" s="102">
        <v>7</v>
      </c>
      <c r="F107" s="102" t="s">
        <v>387</v>
      </c>
      <c r="G107" s="102" t="s">
        <v>25</v>
      </c>
      <c r="H107" s="102" t="s">
        <v>388</v>
      </c>
    </row>
    <row r="108" spans="1:8" ht="15" thickBot="1" x14ac:dyDescent="0.4">
      <c r="A108" s="5">
        <v>106</v>
      </c>
      <c r="B108" s="102">
        <v>20160703020208</v>
      </c>
      <c r="C108" s="102" t="s">
        <v>389</v>
      </c>
      <c r="D108" s="102" t="s">
        <v>176</v>
      </c>
      <c r="E108" s="102">
        <v>9</v>
      </c>
      <c r="F108" s="102" t="s">
        <v>201</v>
      </c>
      <c r="G108" s="102" t="s">
        <v>50</v>
      </c>
      <c r="H108" s="102" t="s">
        <v>390</v>
      </c>
    </row>
    <row r="109" spans="1:8" ht="15" thickBot="1" x14ac:dyDescent="0.4">
      <c r="A109" s="5">
        <v>107</v>
      </c>
      <c r="B109" s="102">
        <v>20160703020030</v>
      </c>
      <c r="C109" s="102" t="s">
        <v>391</v>
      </c>
      <c r="D109" s="102" t="s">
        <v>176</v>
      </c>
      <c r="E109" s="102">
        <v>9</v>
      </c>
      <c r="F109" s="102" t="s">
        <v>241</v>
      </c>
      <c r="G109" s="102" t="s">
        <v>42</v>
      </c>
      <c r="H109" s="102" t="s">
        <v>392</v>
      </c>
    </row>
    <row r="110" spans="1:8" ht="15" thickBot="1" x14ac:dyDescent="0.4">
      <c r="A110" s="5">
        <v>108</v>
      </c>
      <c r="B110" s="102">
        <v>20170703021021</v>
      </c>
      <c r="C110" s="102" t="s">
        <v>393</v>
      </c>
      <c r="D110" s="102" t="s">
        <v>176</v>
      </c>
      <c r="E110" s="102">
        <v>7</v>
      </c>
      <c r="F110" s="102" t="s">
        <v>42</v>
      </c>
      <c r="G110" s="102" t="s">
        <v>211</v>
      </c>
      <c r="H110" s="102" t="s">
        <v>394</v>
      </c>
    </row>
    <row r="111" spans="1:8" ht="15" thickBot="1" x14ac:dyDescent="0.4">
      <c r="A111" s="5">
        <v>109</v>
      </c>
      <c r="B111" s="102">
        <v>20160703030095</v>
      </c>
      <c r="C111" s="102" t="s">
        <v>395</v>
      </c>
      <c r="D111" s="102" t="s">
        <v>180</v>
      </c>
      <c r="E111" s="102">
        <v>9</v>
      </c>
      <c r="F111" s="102" t="s">
        <v>202</v>
      </c>
      <c r="G111" s="102" t="s">
        <v>62</v>
      </c>
      <c r="H111" s="102" t="s">
        <v>396</v>
      </c>
    </row>
    <row r="112" spans="1:8" ht="15" thickBot="1" x14ac:dyDescent="0.4">
      <c r="A112" s="5">
        <v>110</v>
      </c>
      <c r="B112" s="102">
        <v>20170703031065</v>
      </c>
      <c r="C112" s="102" t="s">
        <v>397</v>
      </c>
      <c r="D112" s="102" t="s">
        <v>180</v>
      </c>
      <c r="E112" s="102">
        <v>7</v>
      </c>
      <c r="F112" s="102" t="s">
        <v>59</v>
      </c>
      <c r="G112" s="102" t="s">
        <v>373</v>
      </c>
      <c r="H112" s="102" t="s">
        <v>398</v>
      </c>
    </row>
    <row r="113" spans="1:8" ht="15" thickBot="1" x14ac:dyDescent="0.4">
      <c r="A113" s="5">
        <v>111</v>
      </c>
      <c r="B113" s="102">
        <v>20160703020130</v>
      </c>
      <c r="C113" s="102" t="s">
        <v>399</v>
      </c>
      <c r="D113" s="102" t="s">
        <v>176</v>
      </c>
      <c r="E113" s="102">
        <v>9</v>
      </c>
      <c r="F113" s="102" t="s">
        <v>214</v>
      </c>
      <c r="G113" s="102" t="s">
        <v>226</v>
      </c>
      <c r="H113" s="102" t="s">
        <v>400</v>
      </c>
    </row>
    <row r="114" spans="1:8" ht="15" thickBot="1" x14ac:dyDescent="0.4">
      <c r="A114" s="5">
        <v>112</v>
      </c>
      <c r="B114" s="102">
        <v>20170703042080</v>
      </c>
      <c r="C114" s="102" t="s">
        <v>401</v>
      </c>
      <c r="D114" s="102" t="s">
        <v>194</v>
      </c>
      <c r="E114" s="102">
        <v>7</v>
      </c>
      <c r="F114" s="102" t="s">
        <v>25</v>
      </c>
      <c r="G114" s="102" t="s">
        <v>248</v>
      </c>
      <c r="H114" s="102" t="s">
        <v>402</v>
      </c>
    </row>
    <row r="115" spans="1:8" ht="15" thickBot="1" x14ac:dyDescent="0.4">
      <c r="A115" s="5">
        <v>113</v>
      </c>
      <c r="B115" s="102">
        <v>20170703032115</v>
      </c>
      <c r="C115" s="102" t="s">
        <v>403</v>
      </c>
      <c r="D115" s="102" t="s">
        <v>180</v>
      </c>
      <c r="E115" s="102">
        <v>7</v>
      </c>
      <c r="F115" s="102" t="s">
        <v>202</v>
      </c>
      <c r="G115" s="102" t="s">
        <v>53</v>
      </c>
      <c r="H115" s="102" t="s">
        <v>404</v>
      </c>
    </row>
    <row r="116" spans="1:8" ht="15" thickBot="1" x14ac:dyDescent="0.4">
      <c r="A116" s="5">
        <v>114</v>
      </c>
      <c r="B116" s="102">
        <v>20170703021130</v>
      </c>
      <c r="C116" s="102" t="s">
        <v>405</v>
      </c>
      <c r="D116" s="102" t="s">
        <v>176</v>
      </c>
      <c r="E116" s="102">
        <v>7</v>
      </c>
      <c r="F116" s="102" t="s">
        <v>22</v>
      </c>
      <c r="G116" s="102" t="s">
        <v>42</v>
      </c>
      <c r="H116" s="102" t="s">
        <v>406</v>
      </c>
    </row>
    <row r="117" spans="1:8" ht="15" thickBot="1" x14ac:dyDescent="0.4">
      <c r="A117" s="5">
        <v>115</v>
      </c>
      <c r="B117" s="102">
        <v>20170703031190</v>
      </c>
      <c r="C117" s="102" t="s">
        <v>407</v>
      </c>
      <c r="D117" s="102" t="s">
        <v>180</v>
      </c>
      <c r="E117" s="102">
        <v>7</v>
      </c>
      <c r="F117" s="102" t="s">
        <v>373</v>
      </c>
      <c r="G117" s="102" t="s">
        <v>19</v>
      </c>
      <c r="H117" s="102" t="s">
        <v>408</v>
      </c>
    </row>
    <row r="118" spans="1:8" ht="15" thickBot="1" x14ac:dyDescent="0.4">
      <c r="A118" s="5">
        <v>116</v>
      </c>
      <c r="B118" s="102">
        <v>20170703031135</v>
      </c>
      <c r="C118" s="102" t="s">
        <v>409</v>
      </c>
      <c r="D118" s="102" t="s">
        <v>180</v>
      </c>
      <c r="E118" s="102">
        <v>7</v>
      </c>
      <c r="F118" s="102" t="s">
        <v>69</v>
      </c>
      <c r="G118" s="102" t="s">
        <v>77</v>
      </c>
      <c r="H118" s="102" t="s">
        <v>410</v>
      </c>
    </row>
    <row r="119" spans="1:8" ht="15" thickBot="1" x14ac:dyDescent="0.4">
      <c r="A119" s="5">
        <v>117</v>
      </c>
      <c r="B119" s="102">
        <v>20170703032055</v>
      </c>
      <c r="C119" s="102" t="s">
        <v>411</v>
      </c>
      <c r="D119" s="102" t="s">
        <v>180</v>
      </c>
      <c r="E119" s="102">
        <v>7</v>
      </c>
      <c r="F119" s="102" t="s">
        <v>25</v>
      </c>
      <c r="G119" s="102" t="s">
        <v>373</v>
      </c>
      <c r="H119" s="102" t="s">
        <v>412</v>
      </c>
    </row>
    <row r="120" spans="1:8" ht="15" thickBot="1" x14ac:dyDescent="0.4">
      <c r="A120" s="5">
        <v>118</v>
      </c>
      <c r="B120" s="102">
        <v>20160703020068</v>
      </c>
      <c r="C120" s="102" t="s">
        <v>413</v>
      </c>
      <c r="D120" s="102" t="s">
        <v>176</v>
      </c>
      <c r="E120" s="102">
        <v>9</v>
      </c>
      <c r="F120" s="102" t="s">
        <v>22</v>
      </c>
      <c r="G120" s="102" t="s">
        <v>45</v>
      </c>
      <c r="H120" s="102" t="s">
        <v>414</v>
      </c>
    </row>
    <row r="121" spans="1:8" ht="15" thickBot="1" x14ac:dyDescent="0.4">
      <c r="A121" s="5">
        <v>119</v>
      </c>
      <c r="B121" s="102">
        <v>20170703042117</v>
      </c>
      <c r="C121" s="102" t="s">
        <v>415</v>
      </c>
      <c r="D121" s="102" t="s">
        <v>194</v>
      </c>
      <c r="E121" s="102">
        <v>7</v>
      </c>
      <c r="F121" s="102" t="s">
        <v>34</v>
      </c>
      <c r="G121" s="102" t="s">
        <v>75</v>
      </c>
      <c r="H121" s="102" t="s">
        <v>416</v>
      </c>
    </row>
    <row r="122" spans="1:8" ht="15" thickBot="1" x14ac:dyDescent="0.4">
      <c r="A122" s="5">
        <v>120</v>
      </c>
      <c r="B122" s="102">
        <v>20160703030160</v>
      </c>
      <c r="C122" s="102" t="s">
        <v>417</v>
      </c>
      <c r="D122" s="102" t="s">
        <v>180</v>
      </c>
      <c r="E122" s="102">
        <v>9</v>
      </c>
      <c r="F122" s="102" t="s">
        <v>77</v>
      </c>
      <c r="G122" s="102" t="s">
        <v>22</v>
      </c>
      <c r="H122" s="102" t="s">
        <v>418</v>
      </c>
    </row>
    <row r="123" spans="1:8" ht="15" thickBot="1" x14ac:dyDescent="0.4">
      <c r="A123" s="5">
        <v>121</v>
      </c>
      <c r="B123" s="102">
        <v>20160703030005</v>
      </c>
      <c r="C123" s="102" t="s">
        <v>419</v>
      </c>
      <c r="D123" s="102" t="s">
        <v>180</v>
      </c>
      <c r="E123" s="102">
        <v>9</v>
      </c>
      <c r="F123" s="102" t="s">
        <v>31</v>
      </c>
      <c r="G123" s="102" t="s">
        <v>387</v>
      </c>
      <c r="H123" s="102" t="s">
        <v>420</v>
      </c>
    </row>
    <row r="124" spans="1:8" ht="15" thickBot="1" x14ac:dyDescent="0.4">
      <c r="A124" s="5">
        <v>122</v>
      </c>
      <c r="B124" s="102">
        <v>20170703021186</v>
      </c>
      <c r="C124" s="102" t="s">
        <v>421</v>
      </c>
      <c r="D124" s="102" t="s">
        <v>176</v>
      </c>
      <c r="E124" s="102">
        <v>7</v>
      </c>
      <c r="F124" s="102" t="s">
        <v>241</v>
      </c>
      <c r="G124" s="102" t="s">
        <v>77</v>
      </c>
      <c r="H124" s="102" t="s">
        <v>422</v>
      </c>
    </row>
    <row r="125" spans="1:8" ht="15" thickBot="1" x14ac:dyDescent="0.4">
      <c r="A125" s="5">
        <v>123</v>
      </c>
      <c r="B125" s="102">
        <v>18201503020068</v>
      </c>
      <c r="C125" s="102" t="s">
        <v>423</v>
      </c>
      <c r="D125" s="102" t="s">
        <v>176</v>
      </c>
      <c r="E125" s="102">
        <v>11</v>
      </c>
      <c r="F125" s="102" t="s">
        <v>22</v>
      </c>
      <c r="G125" s="102" t="s">
        <v>191</v>
      </c>
      <c r="H125" s="102" t="s">
        <v>424</v>
      </c>
    </row>
    <row r="126" spans="1:8" ht="15" thickBot="1" x14ac:dyDescent="0.4">
      <c r="A126" s="5">
        <v>124</v>
      </c>
      <c r="B126" s="102">
        <v>20160703020161</v>
      </c>
      <c r="C126" s="102" t="s">
        <v>425</v>
      </c>
      <c r="D126" s="102" t="s">
        <v>176</v>
      </c>
      <c r="E126" s="102">
        <v>9</v>
      </c>
      <c r="F126" s="102" t="s">
        <v>202</v>
      </c>
      <c r="G126" s="102" t="s">
        <v>28</v>
      </c>
      <c r="H126" s="102" t="s">
        <v>426</v>
      </c>
    </row>
    <row r="127" spans="1:8" ht="15" thickBot="1" x14ac:dyDescent="0.4">
      <c r="A127" s="5">
        <v>125</v>
      </c>
      <c r="B127" s="102">
        <v>20160703020082</v>
      </c>
      <c r="C127" s="102" t="s">
        <v>427</v>
      </c>
      <c r="D127" s="102" t="s">
        <v>176</v>
      </c>
      <c r="E127" s="102">
        <v>9</v>
      </c>
      <c r="F127" s="102" t="s">
        <v>42</v>
      </c>
      <c r="G127" s="102" t="s">
        <v>50</v>
      </c>
      <c r="H127" s="102" t="s">
        <v>428</v>
      </c>
    </row>
    <row r="128" spans="1:8" ht="15" thickBot="1" x14ac:dyDescent="0.4">
      <c r="A128" s="5">
        <v>126</v>
      </c>
      <c r="B128" s="102">
        <v>20160703020096</v>
      </c>
      <c r="C128" s="102" t="s">
        <v>429</v>
      </c>
      <c r="D128" s="102" t="s">
        <v>176</v>
      </c>
      <c r="E128" s="102">
        <v>9</v>
      </c>
      <c r="F128" s="102" t="s">
        <v>191</v>
      </c>
      <c r="G128" s="102" t="s">
        <v>28</v>
      </c>
      <c r="H128" s="102" t="s">
        <v>430</v>
      </c>
    </row>
    <row r="129" spans="1:8" ht="15" thickBot="1" x14ac:dyDescent="0.4">
      <c r="A129" s="5">
        <v>127</v>
      </c>
      <c r="B129" s="102">
        <v>18201503020076</v>
      </c>
      <c r="C129" s="102" t="s">
        <v>431</v>
      </c>
      <c r="D129" s="102" t="s">
        <v>176</v>
      </c>
      <c r="E129" s="102">
        <v>11</v>
      </c>
      <c r="F129" s="102" t="s">
        <v>22</v>
      </c>
      <c r="G129" s="102" t="s">
        <v>77</v>
      </c>
      <c r="H129" s="102" t="s">
        <v>432</v>
      </c>
    </row>
    <row r="130" spans="1:8" ht="15" thickBot="1" x14ac:dyDescent="0.4">
      <c r="A130" s="5">
        <v>128</v>
      </c>
      <c r="B130" s="102">
        <v>20160703030005</v>
      </c>
      <c r="C130" s="102" t="s">
        <v>419</v>
      </c>
      <c r="D130" s="102" t="s">
        <v>180</v>
      </c>
      <c r="E130" s="102">
        <v>9</v>
      </c>
      <c r="F130" s="102" t="s">
        <v>31</v>
      </c>
      <c r="G130" s="102" t="s">
        <v>387</v>
      </c>
      <c r="H130" s="102" t="s">
        <v>433</v>
      </c>
    </row>
    <row r="131" spans="1:8" ht="15" thickBot="1" x14ac:dyDescent="0.4">
      <c r="A131" s="5">
        <v>129</v>
      </c>
      <c r="B131" s="102">
        <v>18201402020019</v>
      </c>
      <c r="C131" s="102" t="s">
        <v>434</v>
      </c>
      <c r="D131" s="102" t="s">
        <v>176</v>
      </c>
      <c r="E131" s="102">
        <v>13</v>
      </c>
      <c r="F131" s="102" t="s">
        <v>25</v>
      </c>
      <c r="G131" s="102" t="s">
        <v>39</v>
      </c>
      <c r="H131" s="102" t="s">
        <v>435</v>
      </c>
    </row>
    <row r="132" spans="1:8" ht="15" thickBot="1" x14ac:dyDescent="0.4">
      <c r="A132" s="5">
        <v>130</v>
      </c>
      <c r="B132" s="102">
        <v>20160703030092</v>
      </c>
      <c r="C132" s="102" t="s">
        <v>436</v>
      </c>
      <c r="D132" s="102" t="s">
        <v>180</v>
      </c>
      <c r="E132" s="102">
        <v>9</v>
      </c>
      <c r="F132" s="102" t="s">
        <v>202</v>
      </c>
      <c r="G132" s="102" t="s">
        <v>53</v>
      </c>
      <c r="H132" s="102" t="s">
        <v>437</v>
      </c>
    </row>
    <row r="133" spans="1:8" ht="15" thickBot="1" x14ac:dyDescent="0.4">
      <c r="A133" s="5">
        <v>131</v>
      </c>
      <c r="B133" s="102">
        <v>20170703021008</v>
      </c>
      <c r="C133" s="102" t="s">
        <v>438</v>
      </c>
      <c r="D133" s="102" t="s">
        <v>176</v>
      </c>
      <c r="E133" s="102">
        <v>8</v>
      </c>
      <c r="F133" s="102" t="s">
        <v>77</v>
      </c>
      <c r="G133" s="102" t="s">
        <v>28</v>
      </c>
      <c r="H133" s="102" t="s">
        <v>439</v>
      </c>
    </row>
    <row r="134" spans="1:8" ht="15" thickBot="1" x14ac:dyDescent="0.4">
      <c r="A134" s="5">
        <v>132</v>
      </c>
      <c r="B134" s="102">
        <v>20170703021040</v>
      </c>
      <c r="C134" s="102" t="s">
        <v>440</v>
      </c>
      <c r="D134" s="102" t="s">
        <v>176</v>
      </c>
      <c r="E134" s="102">
        <v>8</v>
      </c>
      <c r="F134" s="102" t="s">
        <v>42</v>
      </c>
      <c r="G134" s="102" t="s">
        <v>22</v>
      </c>
      <c r="H134" s="102" t="s">
        <v>441</v>
      </c>
    </row>
    <row r="135" spans="1:8" ht="15" thickBot="1" x14ac:dyDescent="0.4">
      <c r="A135" s="5">
        <v>133</v>
      </c>
      <c r="B135" s="102">
        <v>20170703022068</v>
      </c>
      <c r="C135" s="102" t="s">
        <v>442</v>
      </c>
      <c r="D135" s="102" t="s">
        <v>176</v>
      </c>
      <c r="E135" s="102">
        <v>8</v>
      </c>
      <c r="F135" s="102" t="s">
        <v>443</v>
      </c>
      <c r="G135" s="102" t="s">
        <v>211</v>
      </c>
      <c r="H135" s="102" t="s">
        <v>444</v>
      </c>
    </row>
    <row r="136" spans="1:8" ht="15" thickBot="1" x14ac:dyDescent="0.4">
      <c r="A136" s="5">
        <v>134</v>
      </c>
      <c r="B136" s="102">
        <v>20170703022117</v>
      </c>
      <c r="C136" s="102" t="s">
        <v>445</v>
      </c>
      <c r="D136" s="102" t="s">
        <v>176</v>
      </c>
      <c r="E136" s="102">
        <v>8</v>
      </c>
      <c r="F136" s="102" t="s">
        <v>53</v>
      </c>
      <c r="G136" s="102" t="s">
        <v>226</v>
      </c>
      <c r="H136" s="102" t="s">
        <v>446</v>
      </c>
    </row>
    <row r="137" spans="1:8" ht="15" thickBot="1" x14ac:dyDescent="0.4">
      <c r="A137" s="5">
        <v>135</v>
      </c>
      <c r="B137" s="102">
        <v>20170703022229</v>
      </c>
      <c r="C137" s="102" t="s">
        <v>447</v>
      </c>
      <c r="D137" s="102" t="s">
        <v>176</v>
      </c>
      <c r="E137" s="102">
        <v>8</v>
      </c>
      <c r="F137" s="102" t="s">
        <v>201</v>
      </c>
      <c r="G137" s="102" t="s">
        <v>177</v>
      </c>
      <c r="H137" s="102" t="s">
        <v>448</v>
      </c>
    </row>
    <row r="138" spans="1:8" ht="15" thickBot="1" x14ac:dyDescent="0.4">
      <c r="A138" s="5">
        <v>136</v>
      </c>
      <c r="B138" s="102">
        <v>20170703032086</v>
      </c>
      <c r="C138" s="102" t="s">
        <v>449</v>
      </c>
      <c r="D138" s="102" t="s">
        <v>180</v>
      </c>
      <c r="E138" s="102">
        <v>8</v>
      </c>
      <c r="F138" s="102" t="s">
        <v>191</v>
      </c>
      <c r="G138" s="102" t="s">
        <v>387</v>
      </c>
      <c r="H138" s="102" t="s">
        <v>450</v>
      </c>
    </row>
    <row r="139" spans="1:8" ht="15" thickBot="1" x14ac:dyDescent="0.4">
      <c r="A139" s="5">
        <v>137</v>
      </c>
      <c r="B139" s="102">
        <v>20170703032193</v>
      </c>
      <c r="C139" s="102" t="s">
        <v>451</v>
      </c>
      <c r="D139" s="102" t="s">
        <v>180</v>
      </c>
      <c r="E139" s="102">
        <v>8</v>
      </c>
      <c r="F139" s="102" t="s">
        <v>265</v>
      </c>
      <c r="G139" s="102" t="s">
        <v>373</v>
      </c>
      <c r="H139" s="102" t="s">
        <v>452</v>
      </c>
    </row>
    <row r="140" spans="1:8" ht="15" thickBot="1" x14ac:dyDescent="0.4">
      <c r="A140" s="5">
        <v>138</v>
      </c>
      <c r="B140" s="102">
        <v>20170703022076</v>
      </c>
      <c r="C140" s="102" t="s">
        <v>453</v>
      </c>
      <c r="D140" s="102" t="s">
        <v>176</v>
      </c>
      <c r="E140" s="102">
        <v>8</v>
      </c>
      <c r="F140" s="102" t="s">
        <v>22</v>
      </c>
      <c r="G140" s="102" t="s">
        <v>202</v>
      </c>
      <c r="H140" s="102" t="s">
        <v>454</v>
      </c>
    </row>
    <row r="141" spans="1:8" ht="15" thickBot="1" x14ac:dyDescent="0.4">
      <c r="A141" s="5">
        <v>139</v>
      </c>
      <c r="B141" s="102">
        <v>20170703032166</v>
      </c>
      <c r="C141" s="102" t="s">
        <v>455</v>
      </c>
      <c r="D141" s="102" t="s">
        <v>180</v>
      </c>
      <c r="E141" s="102">
        <v>8</v>
      </c>
      <c r="F141" s="102" t="s">
        <v>79</v>
      </c>
      <c r="G141" s="102" t="s">
        <v>31</v>
      </c>
      <c r="H141" s="102" t="s">
        <v>456</v>
      </c>
    </row>
    <row r="142" spans="1:8" ht="15" thickBot="1" x14ac:dyDescent="0.4">
      <c r="A142" s="5">
        <v>140</v>
      </c>
      <c r="B142" s="102">
        <v>20170703022076</v>
      </c>
      <c r="C142" s="102" t="s">
        <v>453</v>
      </c>
      <c r="D142" s="102" t="s">
        <v>176</v>
      </c>
      <c r="E142" s="102">
        <v>8</v>
      </c>
      <c r="F142" s="102" t="s">
        <v>22</v>
      </c>
      <c r="G142" s="102" t="s">
        <v>202</v>
      </c>
      <c r="H142" s="102" t="s">
        <v>457</v>
      </c>
    </row>
    <row r="143" spans="1:8" ht="15" thickBot="1" x14ac:dyDescent="0.4">
      <c r="A143" s="5">
        <v>141</v>
      </c>
      <c r="B143" s="102">
        <v>20170703032043</v>
      </c>
      <c r="C143" s="102" t="s">
        <v>458</v>
      </c>
      <c r="D143" s="102" t="s">
        <v>180</v>
      </c>
      <c r="E143" s="102">
        <v>8</v>
      </c>
      <c r="F143" s="102" t="s">
        <v>53</v>
      </c>
      <c r="G143" s="102" t="s">
        <v>71</v>
      </c>
      <c r="H143" s="102" t="s">
        <v>459</v>
      </c>
    </row>
    <row r="144" spans="1:8" ht="15" thickBot="1" x14ac:dyDescent="0.4">
      <c r="A144" s="5">
        <v>142</v>
      </c>
      <c r="B144" s="102">
        <v>18201503020207</v>
      </c>
      <c r="C144" s="102" t="s">
        <v>460</v>
      </c>
      <c r="D144" s="102" t="s">
        <v>176</v>
      </c>
      <c r="E144" s="102">
        <v>12</v>
      </c>
      <c r="F144" s="102" t="s">
        <v>53</v>
      </c>
      <c r="G144" s="102" t="s">
        <v>67</v>
      </c>
      <c r="H144" s="102" t="s">
        <v>461</v>
      </c>
    </row>
    <row r="145" spans="1:8" ht="15" thickBot="1" x14ac:dyDescent="0.4">
      <c r="A145" s="5">
        <v>143</v>
      </c>
      <c r="B145" s="102">
        <v>20170703032061</v>
      </c>
      <c r="C145" s="102" t="s">
        <v>462</v>
      </c>
      <c r="D145" s="102" t="s">
        <v>180</v>
      </c>
      <c r="E145" s="102">
        <v>8</v>
      </c>
      <c r="F145" s="102" t="s">
        <v>75</v>
      </c>
      <c r="G145" s="102" t="s">
        <v>31</v>
      </c>
      <c r="H145" s="102" t="s">
        <v>463</v>
      </c>
    </row>
    <row r="146" spans="1:8" ht="15" thickBot="1" x14ac:dyDescent="0.4">
      <c r="A146" s="5">
        <v>144</v>
      </c>
      <c r="B146" s="102">
        <v>20170703022180</v>
      </c>
      <c r="C146" s="102" t="s">
        <v>464</v>
      </c>
      <c r="D146" s="102" t="s">
        <v>176</v>
      </c>
      <c r="E146" s="102">
        <v>8</v>
      </c>
      <c r="F146" s="102" t="s">
        <v>59</v>
      </c>
      <c r="G146" s="102" t="s">
        <v>50</v>
      </c>
      <c r="H146" s="102" t="s">
        <v>465</v>
      </c>
    </row>
    <row r="147" spans="1:8" ht="15" thickBot="1" x14ac:dyDescent="0.4">
      <c r="A147" s="5">
        <v>145</v>
      </c>
      <c r="B147" s="102">
        <v>20170703032171</v>
      </c>
      <c r="C147" s="102" t="s">
        <v>466</v>
      </c>
      <c r="D147" s="102" t="s">
        <v>180</v>
      </c>
      <c r="E147" s="102">
        <v>8</v>
      </c>
      <c r="F147" s="102" t="s">
        <v>53</v>
      </c>
      <c r="G147" s="102" t="s">
        <v>202</v>
      </c>
      <c r="H147" s="102" t="s">
        <v>467</v>
      </c>
    </row>
    <row r="148" spans="1:8" ht="15" thickBot="1" x14ac:dyDescent="0.4">
      <c r="A148" s="5">
        <v>146</v>
      </c>
      <c r="B148" s="102">
        <v>18201503020079</v>
      </c>
      <c r="C148" s="102" t="s">
        <v>468</v>
      </c>
      <c r="D148" s="102" t="s">
        <v>176</v>
      </c>
      <c r="E148" s="102">
        <v>12</v>
      </c>
      <c r="F148" s="102" t="s">
        <v>191</v>
      </c>
      <c r="G148" s="102" t="s">
        <v>211</v>
      </c>
      <c r="H148" s="102" t="s">
        <v>469</v>
      </c>
    </row>
    <row r="149" spans="1:8" ht="15" thickBot="1" x14ac:dyDescent="0.4">
      <c r="A149" s="5">
        <v>147</v>
      </c>
      <c r="B149" s="102">
        <v>20170703022235</v>
      </c>
      <c r="C149" s="102" t="s">
        <v>470</v>
      </c>
      <c r="D149" s="102" t="s">
        <v>176</v>
      </c>
      <c r="E149" s="102">
        <v>8</v>
      </c>
      <c r="F149" s="102" t="s">
        <v>62</v>
      </c>
      <c r="G149" s="102" t="s">
        <v>177</v>
      </c>
      <c r="H149" s="102" t="s">
        <v>471</v>
      </c>
    </row>
    <row r="150" spans="1:8" ht="15" thickBot="1" x14ac:dyDescent="0.4">
      <c r="A150" s="5">
        <v>148</v>
      </c>
      <c r="B150" s="102">
        <v>20170703032101</v>
      </c>
      <c r="C150" s="102" t="s">
        <v>472</v>
      </c>
      <c r="D150" s="102" t="s">
        <v>180</v>
      </c>
      <c r="E150" s="102">
        <v>8</v>
      </c>
      <c r="F150" s="102" t="s">
        <v>53</v>
      </c>
      <c r="G150" s="102" t="s">
        <v>387</v>
      </c>
      <c r="H150" s="102" t="s">
        <v>473</v>
      </c>
    </row>
    <row r="151" spans="1:8" ht="15" thickBot="1" x14ac:dyDescent="0.4">
      <c r="A151" s="5">
        <v>149</v>
      </c>
      <c r="B151" s="102">
        <v>20170703022109</v>
      </c>
      <c r="C151" s="102" t="s">
        <v>474</v>
      </c>
      <c r="D151" s="102" t="s">
        <v>176</v>
      </c>
      <c r="E151" s="102">
        <v>8</v>
      </c>
      <c r="F151" s="102" t="s">
        <v>201</v>
      </c>
      <c r="G151" s="102" t="s">
        <v>248</v>
      </c>
      <c r="H151" s="102" t="s">
        <v>475</v>
      </c>
    </row>
    <row r="152" spans="1:8" ht="15" thickBot="1" x14ac:dyDescent="0.4">
      <c r="A152" s="5">
        <v>150</v>
      </c>
      <c r="B152" s="102">
        <v>20170703032177</v>
      </c>
      <c r="C152" s="102" t="s">
        <v>476</v>
      </c>
      <c r="D152" s="102" t="s">
        <v>180</v>
      </c>
      <c r="E152" s="102">
        <v>8</v>
      </c>
      <c r="F152" s="102" t="s">
        <v>265</v>
      </c>
      <c r="G152" s="102" t="s">
        <v>177</v>
      </c>
      <c r="H152" s="102" t="s">
        <v>477</v>
      </c>
    </row>
    <row r="153" spans="1:8" ht="15" thickBot="1" x14ac:dyDescent="0.4">
      <c r="A153" s="5">
        <v>151</v>
      </c>
      <c r="B153" s="102">
        <v>20170703032106</v>
      </c>
      <c r="C153" s="102" t="s">
        <v>478</v>
      </c>
      <c r="D153" s="102" t="s">
        <v>180</v>
      </c>
      <c r="E153" s="102">
        <v>8</v>
      </c>
      <c r="F153" s="102" t="s">
        <v>31</v>
      </c>
      <c r="G153" s="102" t="s">
        <v>45</v>
      </c>
      <c r="H153" s="102" t="s">
        <v>479</v>
      </c>
    </row>
    <row r="154" spans="1:8" ht="15" thickBot="1" x14ac:dyDescent="0.4">
      <c r="A154" s="5">
        <v>152</v>
      </c>
      <c r="B154" s="102">
        <v>20170703021213</v>
      </c>
      <c r="C154" s="102" t="s">
        <v>480</v>
      </c>
      <c r="D154" s="102" t="s">
        <v>176</v>
      </c>
      <c r="E154" s="102">
        <v>8</v>
      </c>
      <c r="F154" s="102" t="s">
        <v>25</v>
      </c>
      <c r="G154" s="102" t="s">
        <v>443</v>
      </c>
      <c r="H154" s="102" t="s">
        <v>481</v>
      </c>
    </row>
    <row r="155" spans="1:8" ht="15" thickBot="1" x14ac:dyDescent="0.4">
      <c r="A155" s="5">
        <v>153</v>
      </c>
      <c r="B155" s="102">
        <v>20170703032108</v>
      </c>
      <c r="C155" s="102" t="s">
        <v>482</v>
      </c>
      <c r="D155" s="102" t="s">
        <v>180</v>
      </c>
      <c r="E155" s="102">
        <v>8</v>
      </c>
      <c r="F155" s="102" t="s">
        <v>53</v>
      </c>
      <c r="G155" s="102" t="s">
        <v>191</v>
      </c>
      <c r="H155" s="102" t="s">
        <v>483</v>
      </c>
    </row>
    <row r="156" spans="1:8" ht="15" thickBot="1" x14ac:dyDescent="0.4">
      <c r="A156" s="5">
        <v>154</v>
      </c>
      <c r="B156" s="102">
        <v>20170703032166</v>
      </c>
      <c r="C156" s="102" t="s">
        <v>455</v>
      </c>
      <c r="D156" s="102" t="s">
        <v>180</v>
      </c>
      <c r="E156" s="102">
        <v>8</v>
      </c>
      <c r="F156" s="102" t="s">
        <v>79</v>
      </c>
      <c r="G156" s="102" t="s">
        <v>31</v>
      </c>
      <c r="H156" s="102" t="s">
        <v>456</v>
      </c>
    </row>
    <row r="157" spans="1:8" ht="15" thickBot="1" x14ac:dyDescent="0.4">
      <c r="A157" s="5">
        <v>155</v>
      </c>
      <c r="B157" s="102">
        <v>20170703022036</v>
      </c>
      <c r="C157" s="102" t="s">
        <v>484</v>
      </c>
      <c r="D157" s="102" t="s">
        <v>176</v>
      </c>
      <c r="E157" s="102">
        <v>8</v>
      </c>
      <c r="F157" s="102" t="s">
        <v>53</v>
      </c>
      <c r="G157" s="102" t="s">
        <v>373</v>
      </c>
      <c r="H157" s="102" t="s">
        <v>485</v>
      </c>
    </row>
    <row r="158" spans="1:8" ht="15" thickBot="1" x14ac:dyDescent="0.4">
      <c r="A158" s="5">
        <v>156</v>
      </c>
      <c r="B158" s="102">
        <v>20170703031007</v>
      </c>
      <c r="C158" s="102" t="s">
        <v>486</v>
      </c>
      <c r="D158" s="102" t="s">
        <v>180</v>
      </c>
      <c r="E158" s="102">
        <v>8</v>
      </c>
      <c r="F158" s="102" t="s">
        <v>191</v>
      </c>
      <c r="G158" s="102" t="s">
        <v>42</v>
      </c>
      <c r="H158" s="102" t="s">
        <v>487</v>
      </c>
    </row>
    <row r="159" spans="1:8" ht="15" thickBot="1" x14ac:dyDescent="0.4">
      <c r="A159" s="5">
        <v>157</v>
      </c>
      <c r="B159" s="102">
        <v>20170703021028</v>
      </c>
      <c r="C159" s="102" t="s">
        <v>488</v>
      </c>
      <c r="D159" s="102" t="s">
        <v>176</v>
      </c>
      <c r="E159" s="102">
        <v>8</v>
      </c>
      <c r="F159" s="102" t="s">
        <v>202</v>
      </c>
      <c r="G159" s="102" t="s">
        <v>31</v>
      </c>
      <c r="H159" s="102" t="s">
        <v>489</v>
      </c>
    </row>
    <row r="160" spans="1:8" ht="15" thickBot="1" x14ac:dyDescent="0.4">
      <c r="A160" s="5">
        <v>158</v>
      </c>
      <c r="B160" s="102">
        <v>20160703020077</v>
      </c>
      <c r="C160" s="102" t="s">
        <v>490</v>
      </c>
      <c r="D160" s="102" t="s">
        <v>176</v>
      </c>
      <c r="E160" s="102">
        <v>10</v>
      </c>
      <c r="F160" s="102" t="s">
        <v>42</v>
      </c>
      <c r="G160" s="102" t="s">
        <v>211</v>
      </c>
      <c r="H160" s="102" t="s">
        <v>491</v>
      </c>
    </row>
    <row r="161" spans="1:8" ht="15" thickBot="1" x14ac:dyDescent="0.4">
      <c r="A161" s="5">
        <v>159</v>
      </c>
      <c r="B161" s="102">
        <v>20170703022038</v>
      </c>
      <c r="C161" s="102" t="s">
        <v>492</v>
      </c>
      <c r="D161" s="102" t="s">
        <v>176</v>
      </c>
      <c r="E161" s="102">
        <v>8</v>
      </c>
      <c r="F161" s="102" t="s">
        <v>307</v>
      </c>
      <c r="G161" s="102" t="s">
        <v>28</v>
      </c>
      <c r="H161" s="102" t="s">
        <v>493</v>
      </c>
    </row>
    <row r="162" spans="1:8" ht="15" thickBot="1" x14ac:dyDescent="0.4">
      <c r="A162" s="5">
        <v>160</v>
      </c>
      <c r="B162" s="102">
        <v>20170703021233</v>
      </c>
      <c r="C162" s="102" t="s">
        <v>494</v>
      </c>
      <c r="D162" s="102" t="s">
        <v>176</v>
      </c>
      <c r="E162" s="102">
        <v>8</v>
      </c>
      <c r="F162" s="102" t="s">
        <v>241</v>
      </c>
      <c r="G162" s="102" t="s">
        <v>211</v>
      </c>
      <c r="H162" s="102" t="s">
        <v>495</v>
      </c>
    </row>
    <row r="163" spans="1:8" ht="15" thickBot="1" x14ac:dyDescent="0.4">
      <c r="A163" s="5">
        <v>161</v>
      </c>
      <c r="B163" s="102">
        <v>20170703042020</v>
      </c>
      <c r="C163" s="102" t="s">
        <v>496</v>
      </c>
      <c r="D163" s="102" t="s">
        <v>194</v>
      </c>
      <c r="E163" s="102">
        <v>8</v>
      </c>
      <c r="F163" s="102" t="s">
        <v>53</v>
      </c>
      <c r="G163" s="102" t="s">
        <v>34</v>
      </c>
      <c r="H163" s="102" t="s">
        <v>497</v>
      </c>
    </row>
    <row r="164" spans="1:8" ht="15" thickBot="1" x14ac:dyDescent="0.4">
      <c r="A164" s="5">
        <v>162</v>
      </c>
      <c r="B164" s="102">
        <v>20160703020145</v>
      </c>
      <c r="C164" s="102" t="s">
        <v>498</v>
      </c>
      <c r="D164" s="102" t="s">
        <v>176</v>
      </c>
      <c r="E164" s="102">
        <v>10</v>
      </c>
      <c r="F164" s="102" t="s">
        <v>79</v>
      </c>
      <c r="G164" s="102" t="s">
        <v>53</v>
      </c>
      <c r="H164" s="102" t="s">
        <v>499</v>
      </c>
    </row>
    <row r="165" spans="1:8" ht="15" thickBot="1" x14ac:dyDescent="0.4">
      <c r="A165" s="5">
        <v>163</v>
      </c>
      <c r="B165" s="102">
        <v>20170703022232</v>
      </c>
      <c r="C165" s="102" t="s">
        <v>500</v>
      </c>
      <c r="D165" s="102" t="s">
        <v>176</v>
      </c>
      <c r="E165" s="102">
        <v>8</v>
      </c>
      <c r="F165" s="102" t="s">
        <v>201</v>
      </c>
      <c r="G165" s="102" t="s">
        <v>307</v>
      </c>
      <c r="H165" s="102" t="s">
        <v>501</v>
      </c>
    </row>
    <row r="166" spans="1:8" ht="15" thickBot="1" x14ac:dyDescent="0.4">
      <c r="A166" s="5">
        <v>164</v>
      </c>
      <c r="B166" s="102">
        <v>20170703031157</v>
      </c>
      <c r="C166" s="102" t="s">
        <v>502</v>
      </c>
      <c r="D166" s="102" t="s">
        <v>180</v>
      </c>
      <c r="E166" s="102">
        <v>8</v>
      </c>
      <c r="F166" s="102" t="s">
        <v>373</v>
      </c>
      <c r="G166" s="102" t="s">
        <v>62</v>
      </c>
      <c r="H166" s="102" t="s">
        <v>503</v>
      </c>
    </row>
    <row r="167" spans="1:8" ht="15" thickBot="1" x14ac:dyDescent="0.4">
      <c r="A167" s="5">
        <v>165</v>
      </c>
      <c r="B167" s="102">
        <v>20170703032169</v>
      </c>
      <c r="C167" s="102" t="s">
        <v>504</v>
      </c>
      <c r="D167" s="102" t="s">
        <v>180</v>
      </c>
      <c r="E167" s="102">
        <v>8</v>
      </c>
      <c r="F167" s="102" t="s">
        <v>307</v>
      </c>
      <c r="G167" s="102" t="s">
        <v>62</v>
      </c>
      <c r="H167" s="102" t="s">
        <v>505</v>
      </c>
    </row>
    <row r="168" spans="1:8" ht="15" thickBot="1" x14ac:dyDescent="0.4">
      <c r="A168" s="5">
        <v>166</v>
      </c>
      <c r="B168" s="102">
        <v>18201503020018</v>
      </c>
      <c r="C168" s="102" t="s">
        <v>506</v>
      </c>
      <c r="D168" s="102" t="s">
        <v>176</v>
      </c>
      <c r="E168" s="102">
        <v>12</v>
      </c>
      <c r="F168" s="102" t="s">
        <v>241</v>
      </c>
      <c r="G168" s="102" t="s">
        <v>25</v>
      </c>
      <c r="H168" s="102" t="s">
        <v>507</v>
      </c>
    </row>
    <row r="169" spans="1:8" ht="15" thickBot="1" x14ac:dyDescent="0.4">
      <c r="A169" s="5">
        <v>167</v>
      </c>
      <c r="B169" s="102">
        <v>20170703042093</v>
      </c>
      <c r="C169" s="102" t="s">
        <v>508</v>
      </c>
      <c r="D169" s="102" t="s">
        <v>194</v>
      </c>
      <c r="E169" s="102">
        <v>8</v>
      </c>
      <c r="F169" s="102" t="s">
        <v>241</v>
      </c>
      <c r="G169" s="102" t="s">
        <v>248</v>
      </c>
      <c r="H169" s="102" t="s">
        <v>509</v>
      </c>
    </row>
    <row r="170" spans="1:8" ht="15" thickBot="1" x14ac:dyDescent="0.4">
      <c r="A170" s="5">
        <v>168</v>
      </c>
      <c r="B170" s="102">
        <v>20170703022151</v>
      </c>
      <c r="C170" s="102" t="s">
        <v>510</v>
      </c>
      <c r="D170" s="102" t="s">
        <v>176</v>
      </c>
      <c r="E170" s="102">
        <v>8</v>
      </c>
      <c r="F170" s="102" t="s">
        <v>214</v>
      </c>
      <c r="G170" s="102" t="s">
        <v>71</v>
      </c>
      <c r="H170" s="102" t="s">
        <v>511</v>
      </c>
    </row>
    <row r="171" spans="1:8" ht="15" thickBot="1" x14ac:dyDescent="0.4">
      <c r="A171" s="5">
        <v>169</v>
      </c>
      <c r="B171" s="102">
        <v>20160703030156</v>
      </c>
      <c r="C171" s="102" t="s">
        <v>512</v>
      </c>
      <c r="D171" s="102" t="s">
        <v>180</v>
      </c>
      <c r="E171" s="102">
        <v>10</v>
      </c>
      <c r="F171" s="102" t="s">
        <v>31</v>
      </c>
      <c r="G171" s="102" t="s">
        <v>177</v>
      </c>
      <c r="H171" s="102" t="s">
        <v>513</v>
      </c>
    </row>
    <row r="172" spans="1:8" ht="15" thickBot="1" x14ac:dyDescent="0.4">
      <c r="A172" s="5">
        <v>170</v>
      </c>
      <c r="B172" s="102">
        <v>20170703032050</v>
      </c>
      <c r="C172" s="102" t="s">
        <v>514</v>
      </c>
      <c r="D172" s="102" t="s">
        <v>180</v>
      </c>
      <c r="E172" s="102">
        <v>8</v>
      </c>
      <c r="F172" s="102" t="s">
        <v>67</v>
      </c>
      <c r="G172" s="102" t="s">
        <v>226</v>
      </c>
      <c r="H172" s="102" t="s">
        <v>515</v>
      </c>
    </row>
    <row r="173" spans="1:8" ht="15" thickBot="1" x14ac:dyDescent="0.4">
      <c r="A173" s="5">
        <v>171</v>
      </c>
      <c r="B173" s="102">
        <v>18201503020160</v>
      </c>
      <c r="C173" s="102" t="s">
        <v>516</v>
      </c>
      <c r="D173" s="102" t="s">
        <v>176</v>
      </c>
      <c r="E173" s="102">
        <v>12</v>
      </c>
      <c r="F173" s="102" t="s">
        <v>19</v>
      </c>
      <c r="G173" s="102" t="s">
        <v>50</v>
      </c>
      <c r="H173" s="102" t="s">
        <v>517</v>
      </c>
    </row>
    <row r="174" spans="1:8" ht="15" thickBot="1" x14ac:dyDescent="0.4">
      <c r="A174" s="5">
        <v>172</v>
      </c>
      <c r="B174" s="102">
        <v>20170703022055</v>
      </c>
      <c r="C174" s="102" t="s">
        <v>518</v>
      </c>
      <c r="D174" s="102" t="s">
        <v>176</v>
      </c>
      <c r="E174" s="102">
        <v>8</v>
      </c>
      <c r="F174" s="102" t="s">
        <v>71</v>
      </c>
      <c r="G174" s="102" t="s">
        <v>69</v>
      </c>
      <c r="H174" s="102" t="s">
        <v>519</v>
      </c>
    </row>
    <row r="175" spans="1:8" ht="15" thickBot="1" x14ac:dyDescent="0.4">
      <c r="A175" s="5">
        <v>173</v>
      </c>
      <c r="B175" s="102">
        <v>20170703022055</v>
      </c>
      <c r="C175" s="102" t="s">
        <v>518</v>
      </c>
      <c r="D175" s="102" t="s">
        <v>176</v>
      </c>
      <c r="E175" s="102">
        <v>8</v>
      </c>
      <c r="F175" s="102" t="s">
        <v>71</v>
      </c>
      <c r="G175" s="102" t="s">
        <v>69</v>
      </c>
      <c r="H175" s="102" t="s">
        <v>520</v>
      </c>
    </row>
    <row r="176" spans="1:8" ht="15" thickBot="1" x14ac:dyDescent="0.4">
      <c r="A176" s="5">
        <v>174</v>
      </c>
      <c r="B176" s="102">
        <v>20160703020144</v>
      </c>
      <c r="C176" s="102" t="s">
        <v>521</v>
      </c>
      <c r="D176" s="102" t="s">
        <v>176</v>
      </c>
      <c r="E176" s="102">
        <v>10</v>
      </c>
      <c r="F176" s="102" t="s">
        <v>62</v>
      </c>
      <c r="G176" s="102" t="s">
        <v>387</v>
      </c>
      <c r="H176" s="102" t="s">
        <v>522</v>
      </c>
    </row>
    <row r="177" spans="1:8" ht="15" thickBot="1" x14ac:dyDescent="0.4">
      <c r="A177" s="5">
        <v>175</v>
      </c>
      <c r="B177" s="102">
        <v>20170703031085</v>
      </c>
      <c r="C177" s="102" t="s">
        <v>523</v>
      </c>
      <c r="D177" s="102" t="s">
        <v>180</v>
      </c>
      <c r="E177" s="102">
        <v>8</v>
      </c>
      <c r="F177" s="102" t="s">
        <v>191</v>
      </c>
      <c r="G177" s="102" t="s">
        <v>19</v>
      </c>
      <c r="H177" s="102" t="s">
        <v>524</v>
      </c>
    </row>
    <row r="178" spans="1:8" ht="15" thickBot="1" x14ac:dyDescent="0.4">
      <c r="A178" s="5">
        <v>176</v>
      </c>
      <c r="B178" s="102">
        <v>20170703032186</v>
      </c>
      <c r="C178" s="102" t="s">
        <v>353</v>
      </c>
      <c r="D178" s="102" t="s">
        <v>180</v>
      </c>
      <c r="E178" s="102">
        <v>8</v>
      </c>
      <c r="F178" s="102" t="s">
        <v>525</v>
      </c>
      <c r="G178" s="102" t="s">
        <v>53</v>
      </c>
      <c r="H178" s="102" t="s">
        <v>526</v>
      </c>
    </row>
    <row r="179" spans="1:8" ht="15" thickBot="1" x14ac:dyDescent="0.4">
      <c r="A179" s="5">
        <v>177</v>
      </c>
      <c r="B179" s="102">
        <v>20170703042061</v>
      </c>
      <c r="C179" s="102" t="s">
        <v>527</v>
      </c>
      <c r="D179" s="102" t="s">
        <v>194</v>
      </c>
      <c r="E179" s="102">
        <v>8</v>
      </c>
      <c r="F179" s="102" t="s">
        <v>69</v>
      </c>
      <c r="G179" s="102" t="s">
        <v>177</v>
      </c>
      <c r="H179" s="102" t="s">
        <v>528</v>
      </c>
    </row>
    <row r="180" spans="1:8" ht="15" thickBot="1" x14ac:dyDescent="0.4">
      <c r="A180" s="5">
        <v>178</v>
      </c>
      <c r="B180" s="102">
        <v>20170703032170</v>
      </c>
      <c r="C180" s="102" t="s">
        <v>529</v>
      </c>
      <c r="D180" s="102" t="s">
        <v>180</v>
      </c>
      <c r="E180" s="102">
        <v>8</v>
      </c>
      <c r="F180" s="102" t="s">
        <v>77</v>
      </c>
      <c r="G180" s="102" t="s">
        <v>62</v>
      </c>
      <c r="H180" s="102" t="s">
        <v>530</v>
      </c>
    </row>
    <row r="181" spans="1:8" ht="15" thickBot="1" x14ac:dyDescent="0.4">
      <c r="A181" s="5">
        <v>179</v>
      </c>
      <c r="B181" s="102">
        <v>20170703032036</v>
      </c>
      <c r="C181" s="102" t="s">
        <v>531</v>
      </c>
      <c r="D181" s="102" t="s">
        <v>180</v>
      </c>
      <c r="E181" s="102">
        <v>8</v>
      </c>
      <c r="F181" s="102" t="s">
        <v>62</v>
      </c>
      <c r="G181" s="102" t="s">
        <v>191</v>
      </c>
      <c r="H181" s="102" t="s">
        <v>532</v>
      </c>
    </row>
    <row r="182" spans="1:8" ht="15" thickBot="1" x14ac:dyDescent="0.4">
      <c r="A182" s="5">
        <v>180</v>
      </c>
      <c r="B182" s="102">
        <v>20170703032052</v>
      </c>
      <c r="C182" s="102" t="s">
        <v>533</v>
      </c>
      <c r="D182" s="102" t="s">
        <v>180</v>
      </c>
      <c r="E182" s="102">
        <v>8</v>
      </c>
      <c r="F182" s="102" t="s">
        <v>67</v>
      </c>
      <c r="G182" s="102" t="s">
        <v>45</v>
      </c>
      <c r="H182" s="102" t="s">
        <v>534</v>
      </c>
    </row>
    <row r="183" spans="1:8" ht="15" thickBot="1" x14ac:dyDescent="0.4">
      <c r="A183" s="5">
        <v>181</v>
      </c>
      <c r="B183" s="102">
        <v>20170703031085</v>
      </c>
      <c r="C183" s="102" t="s">
        <v>523</v>
      </c>
      <c r="D183" s="102" t="s">
        <v>180</v>
      </c>
      <c r="E183" s="102">
        <v>8</v>
      </c>
      <c r="F183" s="102" t="s">
        <v>191</v>
      </c>
      <c r="G183" s="102" t="s">
        <v>19</v>
      </c>
      <c r="H183" s="102" t="s">
        <v>524</v>
      </c>
    </row>
    <row r="184" spans="1:8" ht="15" thickBot="1" x14ac:dyDescent="0.4">
      <c r="A184" s="5">
        <v>182</v>
      </c>
      <c r="B184" s="102">
        <v>20170703032178</v>
      </c>
      <c r="C184" s="102" t="s">
        <v>535</v>
      </c>
      <c r="D184" s="102" t="s">
        <v>180</v>
      </c>
      <c r="E184" s="102">
        <v>8</v>
      </c>
      <c r="F184" s="102" t="s">
        <v>354</v>
      </c>
      <c r="G184" s="102" t="s">
        <v>62</v>
      </c>
      <c r="H184" s="102" t="s">
        <v>536</v>
      </c>
    </row>
    <row r="185" spans="1:8" ht="15" thickBot="1" x14ac:dyDescent="0.4">
      <c r="A185" s="5">
        <v>183</v>
      </c>
      <c r="B185" s="102">
        <v>20170703032029</v>
      </c>
      <c r="C185" s="102" t="s">
        <v>537</v>
      </c>
      <c r="D185" s="102" t="s">
        <v>180</v>
      </c>
      <c r="E185" s="102">
        <v>8</v>
      </c>
      <c r="F185" s="102" t="s">
        <v>202</v>
      </c>
      <c r="G185" s="102" t="s">
        <v>59</v>
      </c>
      <c r="H185" s="102" t="s">
        <v>538</v>
      </c>
    </row>
    <row r="186" spans="1:8" ht="15" thickBot="1" x14ac:dyDescent="0.4">
      <c r="A186" s="5">
        <v>184</v>
      </c>
      <c r="B186" s="102">
        <v>20170703042079</v>
      </c>
      <c r="C186" s="102" t="s">
        <v>539</v>
      </c>
      <c r="D186" s="102" t="s">
        <v>194</v>
      </c>
      <c r="E186" s="102">
        <v>8</v>
      </c>
      <c r="F186" s="102" t="s">
        <v>34</v>
      </c>
      <c r="G186" s="102" t="s">
        <v>177</v>
      </c>
      <c r="H186" s="102" t="s">
        <v>540</v>
      </c>
    </row>
    <row r="187" spans="1:8" ht="15" thickBot="1" x14ac:dyDescent="0.4">
      <c r="A187" s="5">
        <v>185</v>
      </c>
      <c r="B187" s="102">
        <v>20170703042116</v>
      </c>
      <c r="C187" s="102" t="s">
        <v>541</v>
      </c>
      <c r="D187" s="102" t="s">
        <v>194</v>
      </c>
      <c r="E187" s="102">
        <v>8</v>
      </c>
      <c r="F187" s="102" t="s">
        <v>75</v>
      </c>
      <c r="G187" s="102" t="s">
        <v>22</v>
      </c>
      <c r="H187" s="102" t="s">
        <v>542</v>
      </c>
    </row>
    <row r="188" spans="1:8" ht="15" thickBot="1" x14ac:dyDescent="0.4">
      <c r="A188" s="5">
        <v>186</v>
      </c>
      <c r="B188" s="102">
        <v>20170703032056</v>
      </c>
      <c r="C188" s="102" t="s">
        <v>543</v>
      </c>
      <c r="D188" s="102" t="s">
        <v>180</v>
      </c>
      <c r="E188" s="102">
        <v>8</v>
      </c>
      <c r="F188" s="102" t="s">
        <v>248</v>
      </c>
      <c r="G188" s="102" t="s">
        <v>25</v>
      </c>
      <c r="H188" s="102" t="s">
        <v>544</v>
      </c>
    </row>
    <row r="189" spans="1:8" ht="15" thickBot="1" x14ac:dyDescent="0.4">
      <c r="A189" s="5">
        <v>187</v>
      </c>
      <c r="B189" s="102">
        <v>20170703022049</v>
      </c>
      <c r="C189" s="102" t="s">
        <v>545</v>
      </c>
      <c r="D189" s="102" t="s">
        <v>176</v>
      </c>
      <c r="E189" s="102">
        <v>8</v>
      </c>
      <c r="F189" s="102" t="s">
        <v>307</v>
      </c>
      <c r="G189" s="102" t="s">
        <v>62</v>
      </c>
      <c r="H189" s="102" t="s">
        <v>546</v>
      </c>
    </row>
    <row r="190" spans="1:8" ht="15" thickBot="1" x14ac:dyDescent="0.4">
      <c r="A190" s="5">
        <v>188</v>
      </c>
      <c r="B190" s="102">
        <v>20170703032053</v>
      </c>
      <c r="C190" s="102" t="s">
        <v>547</v>
      </c>
      <c r="D190" s="102" t="s">
        <v>180</v>
      </c>
      <c r="E190" s="102">
        <v>8</v>
      </c>
      <c r="F190" s="102" t="s">
        <v>25</v>
      </c>
      <c r="G190" s="102" t="s">
        <v>45</v>
      </c>
      <c r="H190" s="102" t="s">
        <v>548</v>
      </c>
    </row>
    <row r="191" spans="1:8" ht="15" thickBot="1" x14ac:dyDescent="0.4">
      <c r="A191" s="5">
        <v>189</v>
      </c>
      <c r="B191" s="102">
        <v>20170703031131</v>
      </c>
      <c r="C191" s="102" t="s">
        <v>549</v>
      </c>
      <c r="D191" s="102" t="s">
        <v>180</v>
      </c>
      <c r="E191" s="102">
        <v>8</v>
      </c>
      <c r="F191" s="102" t="s">
        <v>79</v>
      </c>
      <c r="G191" s="102" t="s">
        <v>69</v>
      </c>
      <c r="H191" s="102" t="s">
        <v>550</v>
      </c>
    </row>
    <row r="192" spans="1:8" ht="15" thickBot="1" x14ac:dyDescent="0.4">
      <c r="A192" s="5">
        <v>190</v>
      </c>
      <c r="B192" s="102">
        <v>20170703031008</v>
      </c>
      <c r="C192" s="102" t="s">
        <v>551</v>
      </c>
      <c r="D192" s="102" t="s">
        <v>180</v>
      </c>
      <c r="E192" s="102">
        <v>8</v>
      </c>
      <c r="F192" s="102" t="s">
        <v>67</v>
      </c>
      <c r="G192" s="102" t="s">
        <v>59</v>
      </c>
      <c r="H192" s="102" t="s">
        <v>552</v>
      </c>
    </row>
    <row r="193" spans="1:8" ht="15" thickBot="1" x14ac:dyDescent="0.4">
      <c r="A193" s="5">
        <v>191</v>
      </c>
      <c r="B193" s="102">
        <v>20170703031010</v>
      </c>
      <c r="C193" s="102" t="s">
        <v>553</v>
      </c>
      <c r="D193" s="102" t="s">
        <v>180</v>
      </c>
      <c r="E193" s="102">
        <v>8</v>
      </c>
      <c r="F193" s="102" t="s">
        <v>59</v>
      </c>
      <c r="G193" s="102" t="s">
        <v>39</v>
      </c>
      <c r="H193" s="102" t="s">
        <v>554</v>
      </c>
    </row>
    <row r="194" spans="1:8" ht="15" thickBot="1" x14ac:dyDescent="0.4">
      <c r="A194" s="5">
        <v>192</v>
      </c>
      <c r="B194" s="102">
        <v>20170703022191</v>
      </c>
      <c r="C194" s="102" t="s">
        <v>555</v>
      </c>
      <c r="D194" s="102" t="s">
        <v>176</v>
      </c>
      <c r="E194" s="102">
        <v>8</v>
      </c>
      <c r="F194" s="102" t="s">
        <v>62</v>
      </c>
      <c r="G194" s="102" t="s">
        <v>19</v>
      </c>
      <c r="H194" s="102" t="s">
        <v>556</v>
      </c>
    </row>
    <row r="195" spans="1:8" ht="15" thickBot="1" x14ac:dyDescent="0.4">
      <c r="A195" s="5">
        <v>193</v>
      </c>
      <c r="B195" s="102">
        <v>20160703030153</v>
      </c>
      <c r="C195" s="102" t="s">
        <v>557</v>
      </c>
      <c r="D195" s="102" t="s">
        <v>180</v>
      </c>
      <c r="E195" s="102">
        <v>10</v>
      </c>
      <c r="F195" s="102" t="s">
        <v>19</v>
      </c>
      <c r="G195" s="102" t="s">
        <v>53</v>
      </c>
      <c r="H195" s="102" t="s">
        <v>558</v>
      </c>
    </row>
    <row r="196" spans="1:8" ht="15" thickBot="1" x14ac:dyDescent="0.4">
      <c r="A196" s="5">
        <v>194</v>
      </c>
      <c r="B196" s="102">
        <v>20170703021018</v>
      </c>
      <c r="C196" s="102" t="s">
        <v>559</v>
      </c>
      <c r="D196" s="102" t="s">
        <v>176</v>
      </c>
      <c r="E196" s="102">
        <v>8</v>
      </c>
      <c r="F196" s="102" t="s">
        <v>560</v>
      </c>
      <c r="G196" s="102" t="s">
        <v>248</v>
      </c>
      <c r="H196" s="102" t="s">
        <v>561</v>
      </c>
    </row>
    <row r="197" spans="1:8" ht="15" thickBot="1" x14ac:dyDescent="0.4">
      <c r="A197" s="5">
        <v>195</v>
      </c>
      <c r="B197" s="102">
        <v>20160703020132</v>
      </c>
      <c r="C197" s="102" t="s">
        <v>562</v>
      </c>
      <c r="D197" s="102" t="s">
        <v>176</v>
      </c>
      <c r="E197" s="102">
        <v>10</v>
      </c>
      <c r="F197" s="102" t="s">
        <v>214</v>
      </c>
      <c r="G197" s="102" t="s">
        <v>71</v>
      </c>
      <c r="H197" s="102" t="s">
        <v>563</v>
      </c>
    </row>
    <row r="198" spans="1:8" ht="15" thickBot="1" x14ac:dyDescent="0.4">
      <c r="A198" s="5">
        <v>196</v>
      </c>
      <c r="B198" s="102">
        <v>20170703042022</v>
      </c>
      <c r="C198" s="102" t="s">
        <v>564</v>
      </c>
      <c r="D198" s="102" t="s">
        <v>194</v>
      </c>
      <c r="E198" s="102">
        <v>8</v>
      </c>
      <c r="F198" s="102" t="s">
        <v>59</v>
      </c>
      <c r="G198" s="102" t="s">
        <v>34</v>
      </c>
      <c r="H198" s="102" t="s">
        <v>565</v>
      </c>
    </row>
    <row r="199" spans="1:8" ht="15" thickBot="1" x14ac:dyDescent="0.4">
      <c r="A199" s="5">
        <v>197</v>
      </c>
      <c r="B199" s="102">
        <v>20170703041033</v>
      </c>
      <c r="C199" s="102" t="s">
        <v>566</v>
      </c>
      <c r="D199" s="102" t="s">
        <v>194</v>
      </c>
      <c r="E199" s="102">
        <v>8</v>
      </c>
      <c r="F199" s="102" t="s">
        <v>567</v>
      </c>
      <c r="G199" s="102" t="s">
        <v>67</v>
      </c>
      <c r="H199" s="102" t="s">
        <v>568</v>
      </c>
    </row>
    <row r="200" spans="1:8" ht="15" thickBot="1" x14ac:dyDescent="0.4">
      <c r="A200" s="5">
        <v>198</v>
      </c>
      <c r="B200" s="102">
        <v>20170703042119</v>
      </c>
      <c r="C200" s="102" t="s">
        <v>569</v>
      </c>
      <c r="D200" s="102" t="s">
        <v>194</v>
      </c>
      <c r="E200" s="102">
        <v>8</v>
      </c>
      <c r="F200" s="102" t="s">
        <v>19</v>
      </c>
      <c r="G200" s="102" t="s">
        <v>354</v>
      </c>
      <c r="H200" s="102" t="s">
        <v>570</v>
      </c>
    </row>
    <row r="201" spans="1:8" ht="15" thickBot="1" x14ac:dyDescent="0.4">
      <c r="A201" s="5">
        <v>199</v>
      </c>
      <c r="B201" s="102">
        <v>20170703032081</v>
      </c>
      <c r="C201" s="102" t="s">
        <v>571</v>
      </c>
      <c r="D201" s="102" t="s">
        <v>180</v>
      </c>
      <c r="E201" s="102">
        <v>8</v>
      </c>
      <c r="F201" s="102" t="s">
        <v>75</v>
      </c>
      <c r="G201" s="102" t="s">
        <v>59</v>
      </c>
      <c r="H201" s="102" t="s">
        <v>572</v>
      </c>
    </row>
    <row r="202" spans="1:8" ht="15" thickBot="1" x14ac:dyDescent="0.4">
      <c r="A202" s="5">
        <v>200</v>
      </c>
      <c r="B202" s="102">
        <v>20170703042026</v>
      </c>
      <c r="C202" s="102" t="s">
        <v>573</v>
      </c>
      <c r="D202" s="102" t="s">
        <v>194</v>
      </c>
      <c r="E202" s="102">
        <v>8</v>
      </c>
      <c r="F202" s="102" t="s">
        <v>567</v>
      </c>
      <c r="G202" s="102" t="s">
        <v>34</v>
      </c>
      <c r="H202" s="102" t="s">
        <v>574</v>
      </c>
    </row>
    <row r="203" spans="1:8" ht="15" thickBot="1" x14ac:dyDescent="0.4">
      <c r="A203" s="5">
        <v>201</v>
      </c>
      <c r="B203" s="102">
        <v>20170703032176</v>
      </c>
      <c r="C203" s="102" t="s">
        <v>575</v>
      </c>
      <c r="D203" s="102" t="s">
        <v>180</v>
      </c>
      <c r="E203" s="102">
        <v>8</v>
      </c>
      <c r="F203" s="102" t="s">
        <v>79</v>
      </c>
      <c r="G203" s="102" t="s">
        <v>31</v>
      </c>
      <c r="H203" s="102" t="s">
        <v>576</v>
      </c>
    </row>
    <row r="204" spans="1:8" ht="15" thickBot="1" x14ac:dyDescent="0.4">
      <c r="A204" s="5">
        <v>202</v>
      </c>
      <c r="B204" s="102">
        <v>20170703032176</v>
      </c>
      <c r="C204" s="102" t="s">
        <v>575</v>
      </c>
      <c r="D204" s="102" t="s">
        <v>180</v>
      </c>
      <c r="E204" s="102">
        <v>8</v>
      </c>
      <c r="F204" s="102" t="s">
        <v>79</v>
      </c>
      <c r="G204" s="102" t="s">
        <v>31</v>
      </c>
      <c r="H204" s="102" t="s">
        <v>576</v>
      </c>
    </row>
    <row r="205" spans="1:8" ht="15" thickBot="1" x14ac:dyDescent="0.4">
      <c r="A205" s="5">
        <v>203</v>
      </c>
      <c r="B205" s="102">
        <v>20160703030182</v>
      </c>
      <c r="C205" s="102" t="s">
        <v>577</v>
      </c>
      <c r="D205" s="102" t="s">
        <v>180</v>
      </c>
      <c r="E205" s="102">
        <v>10</v>
      </c>
      <c r="F205" s="102" t="s">
        <v>202</v>
      </c>
      <c r="G205" s="102" t="s">
        <v>69</v>
      </c>
      <c r="H205" s="102" t="s">
        <v>578</v>
      </c>
    </row>
    <row r="206" spans="1:8" ht="15" thickBot="1" x14ac:dyDescent="0.4">
      <c r="A206" s="5">
        <v>204</v>
      </c>
      <c r="B206" s="102">
        <v>20170703022049</v>
      </c>
      <c r="C206" s="102" t="s">
        <v>545</v>
      </c>
      <c r="D206" s="102" t="s">
        <v>176</v>
      </c>
      <c r="E206" s="102">
        <v>8</v>
      </c>
      <c r="F206" s="102" t="s">
        <v>307</v>
      </c>
      <c r="G206" s="102" t="s">
        <v>62</v>
      </c>
      <c r="H206" s="102" t="s">
        <v>579</v>
      </c>
    </row>
    <row r="207" spans="1:8" ht="15" thickBot="1" x14ac:dyDescent="0.4">
      <c r="A207" s="5">
        <v>205</v>
      </c>
      <c r="B207" s="102">
        <v>20170703022072</v>
      </c>
      <c r="C207" s="102" t="s">
        <v>580</v>
      </c>
      <c r="D207" s="102" t="s">
        <v>176</v>
      </c>
      <c r="E207" s="102">
        <v>8</v>
      </c>
      <c r="F207" s="102" t="s">
        <v>67</v>
      </c>
      <c r="G207" s="102" t="s">
        <v>307</v>
      </c>
      <c r="H207" s="102" t="s">
        <v>581</v>
      </c>
    </row>
    <row r="208" spans="1:8" ht="15" thickBot="1" x14ac:dyDescent="0.4">
      <c r="A208" s="5">
        <v>206</v>
      </c>
      <c r="B208" s="102">
        <v>20170703041064</v>
      </c>
      <c r="C208" s="102" t="s">
        <v>582</v>
      </c>
      <c r="D208" s="102" t="s">
        <v>194</v>
      </c>
      <c r="E208" s="102">
        <v>8</v>
      </c>
      <c r="F208" s="102" t="s">
        <v>25</v>
      </c>
      <c r="G208" s="102" t="s">
        <v>67</v>
      </c>
      <c r="H208" s="102" t="s">
        <v>583</v>
      </c>
    </row>
    <row r="209" spans="1:8" ht="15" thickBot="1" x14ac:dyDescent="0.4">
      <c r="A209" s="5">
        <v>207</v>
      </c>
      <c r="B209" s="102">
        <v>20170703022120</v>
      </c>
      <c r="C209" s="102" t="s">
        <v>584</v>
      </c>
      <c r="D209" s="102" t="s">
        <v>176</v>
      </c>
      <c r="E209" s="102">
        <v>8</v>
      </c>
      <c r="F209" s="102" t="s">
        <v>214</v>
      </c>
      <c r="G209" s="102" t="s">
        <v>75</v>
      </c>
      <c r="H209" s="102" t="s">
        <v>585</v>
      </c>
    </row>
    <row r="210" spans="1:8" ht="15" thickBot="1" x14ac:dyDescent="0.4">
      <c r="A210" s="5">
        <v>208</v>
      </c>
      <c r="B210" s="102">
        <v>20170703022158</v>
      </c>
      <c r="C210" s="102" t="s">
        <v>586</v>
      </c>
      <c r="D210" s="102" t="s">
        <v>176</v>
      </c>
      <c r="E210" s="102">
        <v>8</v>
      </c>
      <c r="F210" s="102" t="s">
        <v>214</v>
      </c>
      <c r="G210" s="102" t="s">
        <v>71</v>
      </c>
      <c r="H210" s="102" t="s">
        <v>587</v>
      </c>
    </row>
    <row r="211" spans="1:8" ht="15" thickBot="1" x14ac:dyDescent="0.4">
      <c r="A211" s="5">
        <v>209</v>
      </c>
      <c r="B211" s="102">
        <v>20170703042097</v>
      </c>
      <c r="C211" s="102" t="s">
        <v>588</v>
      </c>
      <c r="D211" s="102" t="s">
        <v>194</v>
      </c>
      <c r="E211" s="102">
        <v>8</v>
      </c>
      <c r="F211" s="102" t="s">
        <v>62</v>
      </c>
      <c r="G211" s="102" t="s">
        <v>53</v>
      </c>
      <c r="H211" s="102" t="s">
        <v>589</v>
      </c>
    </row>
    <row r="212" spans="1:8" ht="15" thickBot="1" x14ac:dyDescent="0.4">
      <c r="A212" s="5">
        <v>210</v>
      </c>
      <c r="B212" s="102">
        <v>20170703022072</v>
      </c>
      <c r="C212" s="102" t="s">
        <v>580</v>
      </c>
      <c r="D212" s="102" t="s">
        <v>176</v>
      </c>
      <c r="E212" s="102">
        <v>8</v>
      </c>
      <c r="F212" s="102" t="s">
        <v>67</v>
      </c>
      <c r="G212" s="102" t="s">
        <v>307</v>
      </c>
      <c r="H212" s="102" t="s">
        <v>590</v>
      </c>
    </row>
    <row r="213" spans="1:8" ht="15" thickBot="1" x14ac:dyDescent="0.4">
      <c r="A213" s="5">
        <v>211</v>
      </c>
      <c r="B213" s="102">
        <v>20170703041010</v>
      </c>
      <c r="C213" s="102" t="s">
        <v>591</v>
      </c>
      <c r="D213" s="102" t="s">
        <v>194</v>
      </c>
      <c r="E213" s="102">
        <v>8</v>
      </c>
      <c r="F213" s="102" t="s">
        <v>214</v>
      </c>
      <c r="G213" s="102" t="s">
        <v>525</v>
      </c>
      <c r="H213" s="102" t="s">
        <v>592</v>
      </c>
    </row>
    <row r="214" spans="1:8" ht="15" thickBot="1" x14ac:dyDescent="0.4">
      <c r="A214" s="5">
        <v>212</v>
      </c>
      <c r="B214" s="102">
        <v>20170703032084</v>
      </c>
      <c r="C214" s="102" t="s">
        <v>593</v>
      </c>
      <c r="D214" s="102" t="s">
        <v>180</v>
      </c>
      <c r="E214" s="102">
        <v>8</v>
      </c>
      <c r="F214" s="102" t="s">
        <v>248</v>
      </c>
      <c r="G214" s="102" t="s">
        <v>53</v>
      </c>
      <c r="H214" s="102" t="s">
        <v>594</v>
      </c>
    </row>
    <row r="215" spans="1:8" ht="15" thickBot="1" x14ac:dyDescent="0.4">
      <c r="A215" s="5">
        <v>213</v>
      </c>
      <c r="B215" s="102">
        <v>20160703030097</v>
      </c>
      <c r="C215" s="102" t="s">
        <v>595</v>
      </c>
      <c r="D215" s="102" t="s">
        <v>180</v>
      </c>
      <c r="E215" s="102">
        <v>10</v>
      </c>
      <c r="F215" s="102" t="s">
        <v>19</v>
      </c>
      <c r="G215" s="102" t="s">
        <v>71</v>
      </c>
      <c r="H215" s="102" t="s">
        <v>596</v>
      </c>
    </row>
    <row r="216" spans="1:8" ht="15" thickBot="1" x14ac:dyDescent="0.4">
      <c r="A216" s="5">
        <v>214</v>
      </c>
      <c r="B216" s="102">
        <v>20170703042027</v>
      </c>
      <c r="C216" s="102" t="s">
        <v>597</v>
      </c>
      <c r="D216" s="102" t="s">
        <v>194</v>
      </c>
      <c r="E216" s="102">
        <v>8</v>
      </c>
      <c r="F216" s="102" t="s">
        <v>214</v>
      </c>
      <c r="G216" s="102" t="s">
        <v>443</v>
      </c>
      <c r="H216" s="102" t="s">
        <v>598</v>
      </c>
    </row>
    <row r="217" spans="1:8" ht="15" thickBot="1" x14ac:dyDescent="0.4">
      <c r="A217" s="5">
        <v>215</v>
      </c>
      <c r="B217" s="102">
        <v>20170703032080</v>
      </c>
      <c r="C217" s="102" t="s">
        <v>599</v>
      </c>
      <c r="D217" s="102" t="s">
        <v>180</v>
      </c>
      <c r="E217" s="102">
        <v>8</v>
      </c>
      <c r="F217" s="102" t="s">
        <v>67</v>
      </c>
      <c r="G217" s="102" t="s">
        <v>45</v>
      </c>
      <c r="H217" s="102" t="s">
        <v>600</v>
      </c>
    </row>
    <row r="218" spans="1:8" ht="15" thickBot="1" x14ac:dyDescent="0.4">
      <c r="A218" s="5">
        <v>216</v>
      </c>
      <c r="B218" s="102">
        <v>20170703031014</v>
      </c>
      <c r="C218" s="102" t="s">
        <v>601</v>
      </c>
      <c r="D218" s="102" t="s">
        <v>180</v>
      </c>
      <c r="E218" s="102">
        <v>8</v>
      </c>
      <c r="F218" s="102" t="s">
        <v>67</v>
      </c>
      <c r="G218" s="102" t="s">
        <v>50</v>
      </c>
      <c r="H218" s="102" t="s">
        <v>602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18"/>
  <sheetViews>
    <sheetView workbookViewId="0">
      <pane xSplit="3" ySplit="2" topLeftCell="D4" activePane="bottomRight" state="frozen"/>
      <selection pane="topRight" activeCell="D1" sqref="D1"/>
      <selection pane="bottomLeft" activeCell="A3" sqref="A3"/>
      <selection pane="bottomRight" activeCell="G15" sqref="G15"/>
    </sheetView>
  </sheetViews>
  <sheetFormatPr defaultColWidth="9.1796875" defaultRowHeight="14.5" x14ac:dyDescent="0.35"/>
  <cols>
    <col min="1" max="1" width="4.6328125" style="2" customWidth="1"/>
    <col min="2" max="2" width="12.6328125" style="2" customWidth="1"/>
    <col min="3" max="3" width="4.6328125" style="2" customWidth="1"/>
    <col min="4" max="4" width="25.6328125" style="2" customWidth="1"/>
    <col min="5" max="5" width="4.6328125" style="2" customWidth="1"/>
    <col min="6" max="6" width="25.6328125" style="2" customWidth="1"/>
    <col min="7" max="7" width="4.6328125" style="2" customWidth="1"/>
    <col min="8" max="8" width="25.6328125" style="2" customWidth="1"/>
    <col min="9" max="9" width="12.6328125" style="2" customWidth="1"/>
    <col min="10" max="16384" width="9.1796875" style="2"/>
  </cols>
  <sheetData>
    <row r="1" spans="1:10" ht="29" customHeight="1" x14ac:dyDescent="0.35">
      <c r="A1" s="57" t="s">
        <v>97</v>
      </c>
      <c r="B1" s="15"/>
      <c r="C1" s="15"/>
      <c r="D1" s="15"/>
      <c r="E1" s="15"/>
      <c r="F1" s="15"/>
      <c r="G1" s="103" t="s">
        <v>207</v>
      </c>
      <c r="H1" s="104"/>
      <c r="I1" s="104"/>
      <c r="J1" s="104"/>
    </row>
    <row r="2" spans="1:10" x14ac:dyDescent="0.35">
      <c r="A2" s="16" t="s">
        <v>13</v>
      </c>
      <c r="B2" s="58" t="s">
        <v>88</v>
      </c>
      <c r="C2" s="58" t="s">
        <v>98</v>
      </c>
      <c r="D2" s="58" t="s">
        <v>91</v>
      </c>
      <c r="E2" s="58" t="s">
        <v>99</v>
      </c>
      <c r="F2" s="58" t="s">
        <v>100</v>
      </c>
      <c r="G2" s="16" t="s">
        <v>101</v>
      </c>
      <c r="H2" s="58" t="s">
        <v>102</v>
      </c>
      <c r="I2" s="58" t="s">
        <v>121</v>
      </c>
    </row>
    <row r="3" spans="1:10" x14ac:dyDescent="0.35">
      <c r="A3" s="2">
        <v>1</v>
      </c>
      <c r="B3" s="2">
        <v>20160703020002</v>
      </c>
      <c r="C3" s="2">
        <v>23</v>
      </c>
      <c r="D3" s="2" t="s">
        <v>75</v>
      </c>
      <c r="E3" s="2">
        <v>7</v>
      </c>
      <c r="F3" s="2" t="s">
        <v>177</v>
      </c>
      <c r="G3" s="59">
        <v>11</v>
      </c>
      <c r="H3" s="2" t="s">
        <v>92</v>
      </c>
      <c r="I3" s="2">
        <f t="shared" ref="I3:I66" si="0">COUNTIF(D:H,D3)</f>
        <v>8</v>
      </c>
    </row>
    <row r="4" spans="1:10" x14ac:dyDescent="0.35">
      <c r="A4" s="2">
        <v>2</v>
      </c>
      <c r="B4" s="2">
        <v>20160703030181</v>
      </c>
      <c r="C4" s="2">
        <v>10</v>
      </c>
      <c r="D4" s="2" t="s">
        <v>45</v>
      </c>
      <c r="E4" s="2">
        <v>2</v>
      </c>
      <c r="F4" s="2" t="s">
        <v>22</v>
      </c>
      <c r="G4" s="59">
        <v>12</v>
      </c>
      <c r="H4" s="2" t="s">
        <v>50</v>
      </c>
      <c r="I4" s="2">
        <f t="shared" si="0"/>
        <v>9</v>
      </c>
    </row>
    <row r="5" spans="1:10" x14ac:dyDescent="0.35">
      <c r="A5" s="2">
        <v>3</v>
      </c>
      <c r="B5" s="2">
        <v>20160703030144</v>
      </c>
      <c r="C5" s="2">
        <v>8</v>
      </c>
      <c r="D5" s="2" t="s">
        <v>39</v>
      </c>
      <c r="E5" s="2">
        <v>19</v>
      </c>
      <c r="F5" s="2" t="s">
        <v>69</v>
      </c>
      <c r="G5" s="59">
        <v>13</v>
      </c>
      <c r="H5" s="2" t="s">
        <v>53</v>
      </c>
      <c r="I5" s="2">
        <f t="shared" si="0"/>
        <v>10</v>
      </c>
    </row>
    <row r="6" spans="1:10" x14ac:dyDescent="0.35">
      <c r="A6" s="2">
        <v>4</v>
      </c>
      <c r="B6" s="2">
        <v>20160703020057</v>
      </c>
      <c r="C6" s="2">
        <v>2</v>
      </c>
      <c r="D6" s="2" t="s">
        <v>22</v>
      </c>
      <c r="E6" s="2">
        <v>4</v>
      </c>
      <c r="F6" s="2" t="s">
        <v>28</v>
      </c>
      <c r="G6" s="59">
        <v>14</v>
      </c>
      <c r="H6" s="2" t="s">
        <v>56</v>
      </c>
      <c r="I6" s="2">
        <f t="shared" si="0"/>
        <v>25</v>
      </c>
    </row>
    <row r="7" spans="1:10" x14ac:dyDescent="0.35">
      <c r="A7" s="2">
        <v>5</v>
      </c>
      <c r="B7" s="2">
        <v>18201503020014</v>
      </c>
      <c r="C7" s="2">
        <v>16</v>
      </c>
      <c r="D7" s="2" t="s">
        <v>62</v>
      </c>
      <c r="E7" s="2">
        <v>19</v>
      </c>
      <c r="F7" s="2" t="s">
        <v>69</v>
      </c>
      <c r="G7" s="59">
        <v>15</v>
      </c>
      <c r="H7" s="2" t="s">
        <v>59</v>
      </c>
      <c r="I7" s="2">
        <f t="shared" si="0"/>
        <v>23</v>
      </c>
    </row>
    <row r="8" spans="1:10" x14ac:dyDescent="0.35">
      <c r="A8" s="2">
        <v>6</v>
      </c>
      <c r="B8" s="2">
        <v>18201402030113</v>
      </c>
      <c r="C8" s="2">
        <v>5</v>
      </c>
      <c r="D8" s="2" t="s">
        <v>31</v>
      </c>
      <c r="E8" s="2">
        <v>16</v>
      </c>
      <c r="F8" s="2" t="s">
        <v>62</v>
      </c>
      <c r="G8" s="59">
        <v>17</v>
      </c>
      <c r="H8" s="2" t="s">
        <v>65</v>
      </c>
      <c r="I8" s="2">
        <f t="shared" si="0"/>
        <v>18</v>
      </c>
    </row>
    <row r="9" spans="1:10" x14ac:dyDescent="0.35">
      <c r="A9" s="2">
        <v>7</v>
      </c>
      <c r="B9" s="2">
        <v>20160703020007</v>
      </c>
      <c r="C9" s="2" t="e">
        <v>#N/A</v>
      </c>
      <c r="D9" s="2" t="s">
        <v>191</v>
      </c>
      <c r="E9" s="2">
        <v>18</v>
      </c>
      <c r="F9" s="2" t="s">
        <v>67</v>
      </c>
      <c r="G9" s="59">
        <v>19</v>
      </c>
      <c r="H9" s="2" t="s">
        <v>69</v>
      </c>
      <c r="I9" s="2">
        <f t="shared" si="0"/>
        <v>13</v>
      </c>
    </row>
    <row r="10" spans="1:10" x14ac:dyDescent="0.35">
      <c r="A10" s="2">
        <v>8</v>
      </c>
      <c r="B10" s="2">
        <v>20160703040058</v>
      </c>
      <c r="C10" s="2">
        <v>5</v>
      </c>
      <c r="D10" s="2" t="s">
        <v>31</v>
      </c>
      <c r="E10" s="2">
        <v>6</v>
      </c>
      <c r="F10" s="2" t="s">
        <v>34</v>
      </c>
      <c r="G10" s="59">
        <v>18</v>
      </c>
      <c r="H10" s="2" t="s">
        <v>67</v>
      </c>
      <c r="I10" s="2">
        <f t="shared" si="0"/>
        <v>18</v>
      </c>
    </row>
    <row r="11" spans="1:10" x14ac:dyDescent="0.35">
      <c r="A11" s="2">
        <v>9</v>
      </c>
      <c r="B11" s="2">
        <v>20160703020083</v>
      </c>
      <c r="C11" s="2">
        <v>9</v>
      </c>
      <c r="D11" s="2" t="s">
        <v>42</v>
      </c>
      <c r="E11" s="2">
        <v>1</v>
      </c>
      <c r="F11" s="2" t="s">
        <v>19</v>
      </c>
      <c r="G11" s="59">
        <v>16</v>
      </c>
      <c r="H11" s="2" t="s">
        <v>62</v>
      </c>
      <c r="I11" s="2">
        <f t="shared" si="0"/>
        <v>21</v>
      </c>
    </row>
    <row r="12" spans="1:10" x14ac:dyDescent="0.35">
      <c r="A12" s="2">
        <v>10</v>
      </c>
      <c r="B12" s="2">
        <v>18201503030081</v>
      </c>
      <c r="C12" s="2">
        <v>19</v>
      </c>
      <c r="D12" s="2" t="s">
        <v>69</v>
      </c>
      <c r="E12" s="2">
        <v>7</v>
      </c>
      <c r="F12" s="2" t="s">
        <v>177</v>
      </c>
      <c r="G12" s="59">
        <v>20</v>
      </c>
      <c r="H12" s="2" t="s">
        <v>71</v>
      </c>
      <c r="I12" s="2">
        <f t="shared" si="0"/>
        <v>18</v>
      </c>
    </row>
    <row r="13" spans="1:10" x14ac:dyDescent="0.35">
      <c r="A13" s="2">
        <v>11</v>
      </c>
      <c r="B13" s="2">
        <v>20160703020214</v>
      </c>
      <c r="C13" s="2" t="e">
        <v>#N/A</v>
      </c>
      <c r="D13" s="2" t="s">
        <v>201</v>
      </c>
      <c r="E13" s="2" t="e">
        <v>#N/A</v>
      </c>
      <c r="F13" s="2" t="s">
        <v>202</v>
      </c>
      <c r="G13" s="59">
        <v>21</v>
      </c>
      <c r="H13" s="2" t="s">
        <v>95</v>
      </c>
      <c r="I13" s="2">
        <f t="shared" si="0"/>
        <v>14</v>
      </c>
    </row>
    <row r="14" spans="1:10" x14ac:dyDescent="0.35">
      <c r="A14" s="2">
        <v>12</v>
      </c>
      <c r="B14" s="2">
        <v>20160703030114</v>
      </c>
      <c r="C14" s="2" t="e">
        <v>#N/A</v>
      </c>
      <c r="D14" s="2" t="s">
        <v>201</v>
      </c>
      <c r="E14" s="2">
        <v>5</v>
      </c>
      <c r="F14" s="2" t="s">
        <v>31</v>
      </c>
      <c r="G14" s="59">
        <v>22</v>
      </c>
      <c r="H14" s="2" t="s">
        <v>96</v>
      </c>
      <c r="I14" s="2">
        <f t="shared" si="0"/>
        <v>14</v>
      </c>
    </row>
    <row r="15" spans="1:10" x14ac:dyDescent="0.35">
      <c r="A15" s="2">
        <v>13</v>
      </c>
      <c r="B15" s="2">
        <v>18201503020031</v>
      </c>
      <c r="C15" s="2">
        <v>24</v>
      </c>
      <c r="D15" s="2" t="s">
        <v>77</v>
      </c>
      <c r="E15" s="2">
        <v>18</v>
      </c>
      <c r="F15" s="2" t="s">
        <v>67</v>
      </c>
      <c r="G15" s="59"/>
      <c r="I15" s="2">
        <f t="shared" si="0"/>
        <v>12</v>
      </c>
    </row>
    <row r="16" spans="1:10" x14ac:dyDescent="0.35">
      <c r="A16" s="2">
        <v>14</v>
      </c>
      <c r="B16" s="2">
        <v>18201503020093</v>
      </c>
      <c r="C16" s="2">
        <v>18</v>
      </c>
      <c r="D16" s="2" t="s">
        <v>67</v>
      </c>
      <c r="E16" s="2">
        <v>16</v>
      </c>
      <c r="F16" s="2" t="s">
        <v>62</v>
      </c>
      <c r="G16" s="59"/>
      <c r="I16" s="2">
        <f t="shared" si="0"/>
        <v>17</v>
      </c>
    </row>
    <row r="17" spans="1:9" x14ac:dyDescent="0.35">
      <c r="A17" s="2">
        <v>15</v>
      </c>
      <c r="B17" s="2">
        <v>20160703020075</v>
      </c>
      <c r="C17" s="2">
        <v>19</v>
      </c>
      <c r="D17" s="2" t="s">
        <v>69</v>
      </c>
      <c r="E17" s="2" t="e">
        <v>#N/A</v>
      </c>
      <c r="F17" s="2" t="s">
        <v>211</v>
      </c>
      <c r="G17" s="59"/>
      <c r="I17" s="2">
        <f t="shared" si="0"/>
        <v>18</v>
      </c>
    </row>
    <row r="18" spans="1:9" x14ac:dyDescent="0.35">
      <c r="A18" s="2">
        <v>16</v>
      </c>
      <c r="B18" s="2">
        <v>20160703020112</v>
      </c>
      <c r="C18" s="2" t="e">
        <v>#N/A</v>
      </c>
      <c r="D18" s="2" t="s">
        <v>214</v>
      </c>
      <c r="E18" s="2">
        <v>24</v>
      </c>
      <c r="F18" s="2" t="s">
        <v>77</v>
      </c>
      <c r="G18" s="59"/>
      <c r="I18" s="2">
        <f t="shared" si="0"/>
        <v>26</v>
      </c>
    </row>
    <row r="19" spans="1:9" x14ac:dyDescent="0.35">
      <c r="A19" s="2">
        <v>17</v>
      </c>
      <c r="B19" s="2">
        <v>20160703030135</v>
      </c>
      <c r="C19" s="2" t="e">
        <v>#N/A</v>
      </c>
      <c r="D19" s="2" t="s">
        <v>214</v>
      </c>
      <c r="E19" s="2">
        <v>9</v>
      </c>
      <c r="F19" s="2" t="s">
        <v>42</v>
      </c>
      <c r="G19" s="59"/>
      <c r="I19" s="2">
        <f t="shared" si="0"/>
        <v>26</v>
      </c>
    </row>
    <row r="20" spans="1:9" x14ac:dyDescent="0.35">
      <c r="A20" s="2">
        <v>18</v>
      </c>
      <c r="B20" s="2">
        <v>20160703020193</v>
      </c>
      <c r="C20" s="2">
        <v>3</v>
      </c>
      <c r="D20" s="2" t="s">
        <v>25</v>
      </c>
      <c r="E20" s="2">
        <v>10</v>
      </c>
      <c r="F20" s="2" t="s">
        <v>45</v>
      </c>
      <c r="G20" s="59"/>
      <c r="I20" s="2">
        <f t="shared" si="0"/>
        <v>19</v>
      </c>
    </row>
    <row r="21" spans="1:9" x14ac:dyDescent="0.35">
      <c r="A21" s="2">
        <v>19</v>
      </c>
      <c r="B21" s="2">
        <v>18201503030037</v>
      </c>
      <c r="C21" s="2">
        <v>2</v>
      </c>
      <c r="D21" s="2" t="s">
        <v>22</v>
      </c>
      <c r="E21" s="2">
        <v>5</v>
      </c>
      <c r="F21" s="2" t="s">
        <v>31</v>
      </c>
      <c r="G21" s="59"/>
      <c r="I21" s="2">
        <f t="shared" si="0"/>
        <v>25</v>
      </c>
    </row>
    <row r="22" spans="1:9" x14ac:dyDescent="0.35">
      <c r="A22" s="2">
        <v>20</v>
      </c>
      <c r="B22" s="2">
        <v>20160703030135</v>
      </c>
      <c r="C22" s="2" t="e">
        <v>#N/A</v>
      </c>
      <c r="D22" s="2" t="s">
        <v>214</v>
      </c>
      <c r="E22" s="2">
        <v>9</v>
      </c>
      <c r="F22" s="2" t="s">
        <v>42</v>
      </c>
      <c r="G22" s="59"/>
      <c r="I22" s="2">
        <f t="shared" si="0"/>
        <v>26</v>
      </c>
    </row>
    <row r="23" spans="1:9" x14ac:dyDescent="0.35">
      <c r="A23" s="2">
        <v>21</v>
      </c>
      <c r="B23" s="2">
        <v>20160703020142</v>
      </c>
      <c r="C23" s="2" t="e">
        <v>#N/A</v>
      </c>
      <c r="D23" s="2" t="s">
        <v>202</v>
      </c>
      <c r="E23" s="2">
        <v>2</v>
      </c>
      <c r="F23" s="2" t="s">
        <v>22</v>
      </c>
      <c r="G23" s="59"/>
      <c r="I23" s="2">
        <f t="shared" si="0"/>
        <v>21</v>
      </c>
    </row>
    <row r="24" spans="1:9" x14ac:dyDescent="0.35">
      <c r="A24" s="2">
        <v>22</v>
      </c>
      <c r="B24" s="2">
        <v>20160703020185</v>
      </c>
      <c r="C24" s="2">
        <v>20</v>
      </c>
      <c r="D24" s="2" t="s">
        <v>71</v>
      </c>
      <c r="E24" s="2" t="e">
        <v>#N/A</v>
      </c>
      <c r="F24" s="2" t="s">
        <v>226</v>
      </c>
      <c r="G24" s="59"/>
      <c r="I24" s="2">
        <f t="shared" si="0"/>
        <v>16</v>
      </c>
    </row>
    <row r="25" spans="1:9" x14ac:dyDescent="0.35">
      <c r="A25" s="2">
        <v>23</v>
      </c>
      <c r="B25" s="2">
        <v>18201503020071</v>
      </c>
      <c r="C25" s="2">
        <v>2</v>
      </c>
      <c r="D25" s="2" t="s">
        <v>22</v>
      </c>
      <c r="E25" s="2">
        <v>20</v>
      </c>
      <c r="F25" s="2" t="s">
        <v>71</v>
      </c>
      <c r="G25" s="59"/>
      <c r="I25" s="2">
        <f t="shared" si="0"/>
        <v>25</v>
      </c>
    </row>
    <row r="26" spans="1:9" x14ac:dyDescent="0.35">
      <c r="A26" s="2">
        <v>24</v>
      </c>
      <c r="B26" s="2">
        <v>20160703020179</v>
      </c>
      <c r="C26" s="2">
        <v>8</v>
      </c>
      <c r="D26" s="2" t="s">
        <v>39</v>
      </c>
      <c r="E26" s="2">
        <v>16</v>
      </c>
      <c r="F26" s="2" t="s">
        <v>62</v>
      </c>
      <c r="G26" s="59"/>
      <c r="I26" s="2">
        <f t="shared" si="0"/>
        <v>10</v>
      </c>
    </row>
    <row r="27" spans="1:9" x14ac:dyDescent="0.35">
      <c r="A27" s="2">
        <v>25</v>
      </c>
      <c r="B27" s="2">
        <v>20160703020113</v>
      </c>
      <c r="C27" s="2" t="e">
        <v>#N/A</v>
      </c>
      <c r="D27" s="2" t="s">
        <v>214</v>
      </c>
      <c r="E27" s="2">
        <v>5</v>
      </c>
      <c r="F27" s="2" t="s">
        <v>31</v>
      </c>
      <c r="G27" s="59"/>
      <c r="I27" s="2">
        <f t="shared" si="0"/>
        <v>26</v>
      </c>
    </row>
    <row r="28" spans="1:9" x14ac:dyDescent="0.35">
      <c r="A28" s="2">
        <v>26</v>
      </c>
      <c r="B28" s="2">
        <v>18201503020103</v>
      </c>
      <c r="C28" s="2" t="e">
        <v>#N/A</v>
      </c>
      <c r="D28" s="2" t="s">
        <v>214</v>
      </c>
      <c r="E28" s="2">
        <v>5</v>
      </c>
      <c r="F28" s="2" t="s">
        <v>31</v>
      </c>
      <c r="G28" s="59"/>
      <c r="I28" s="2">
        <f t="shared" si="0"/>
        <v>26</v>
      </c>
    </row>
    <row r="29" spans="1:9" x14ac:dyDescent="0.35">
      <c r="A29" s="2">
        <v>27</v>
      </c>
      <c r="B29" s="2">
        <v>20160703040009</v>
      </c>
      <c r="C29" s="2">
        <v>15</v>
      </c>
      <c r="D29" s="2" t="s">
        <v>59</v>
      </c>
      <c r="E29" s="2">
        <v>3</v>
      </c>
      <c r="F29" s="2" t="s">
        <v>25</v>
      </c>
      <c r="G29" s="59"/>
      <c r="I29" s="2">
        <f t="shared" si="0"/>
        <v>23</v>
      </c>
    </row>
    <row r="30" spans="1:9" x14ac:dyDescent="0.35">
      <c r="A30" s="2">
        <v>28</v>
      </c>
      <c r="B30" s="2">
        <v>20160703030107</v>
      </c>
      <c r="C30" s="2" t="e">
        <v>#N/A</v>
      </c>
      <c r="D30" s="2" t="s">
        <v>214</v>
      </c>
      <c r="E30" s="2">
        <v>7</v>
      </c>
      <c r="F30" s="2" t="s">
        <v>177</v>
      </c>
      <c r="G30" s="59"/>
      <c r="I30" s="2">
        <f t="shared" si="0"/>
        <v>26</v>
      </c>
    </row>
    <row r="31" spans="1:9" x14ac:dyDescent="0.35">
      <c r="A31" s="2">
        <v>29</v>
      </c>
      <c r="B31" s="2">
        <v>20160703030107</v>
      </c>
      <c r="C31" s="2" t="e">
        <v>#N/A</v>
      </c>
      <c r="D31" s="2" t="s">
        <v>214</v>
      </c>
      <c r="E31" s="2">
        <v>7</v>
      </c>
      <c r="F31" s="2" t="s">
        <v>177</v>
      </c>
      <c r="G31" s="59"/>
      <c r="I31" s="2">
        <f t="shared" si="0"/>
        <v>26</v>
      </c>
    </row>
    <row r="32" spans="1:9" x14ac:dyDescent="0.35">
      <c r="A32" s="2">
        <v>30</v>
      </c>
      <c r="B32" s="2">
        <v>20160703020005</v>
      </c>
      <c r="C32" s="2" t="e">
        <v>#N/A</v>
      </c>
      <c r="D32" s="2" t="s">
        <v>241</v>
      </c>
      <c r="E32" s="2" t="e">
        <v>#N/A</v>
      </c>
      <c r="F32" s="2" t="s">
        <v>226</v>
      </c>
      <c r="G32" s="59"/>
      <c r="I32" s="2">
        <f t="shared" si="0"/>
        <v>11</v>
      </c>
    </row>
    <row r="33" spans="1:9" x14ac:dyDescent="0.35">
      <c r="A33" s="2">
        <v>31</v>
      </c>
      <c r="B33" s="2">
        <v>20160703020218</v>
      </c>
      <c r="C33" s="2" t="e">
        <v>#N/A</v>
      </c>
      <c r="D33" s="2" t="s">
        <v>201</v>
      </c>
      <c r="E33" s="2">
        <v>24</v>
      </c>
      <c r="F33" s="2" t="s">
        <v>77</v>
      </c>
      <c r="G33" s="59"/>
      <c r="I33" s="2">
        <f t="shared" si="0"/>
        <v>14</v>
      </c>
    </row>
    <row r="34" spans="1:9" x14ac:dyDescent="0.35">
      <c r="A34" s="2">
        <v>32</v>
      </c>
      <c r="B34" s="2">
        <v>20160703020204</v>
      </c>
      <c r="C34" s="2" t="e">
        <v>#N/A</v>
      </c>
      <c r="D34" s="2" t="s">
        <v>201</v>
      </c>
      <c r="E34" s="2">
        <v>13</v>
      </c>
      <c r="F34" s="2" t="s">
        <v>53</v>
      </c>
      <c r="G34" s="59"/>
      <c r="I34" s="2">
        <f t="shared" si="0"/>
        <v>14</v>
      </c>
    </row>
    <row r="35" spans="1:9" x14ac:dyDescent="0.35">
      <c r="A35" s="2">
        <v>33</v>
      </c>
      <c r="B35" s="2">
        <v>20160703030030</v>
      </c>
      <c r="C35" s="2">
        <v>2</v>
      </c>
      <c r="D35" s="2" t="s">
        <v>22</v>
      </c>
      <c r="E35" s="2" t="e">
        <v>#N/A</v>
      </c>
      <c r="F35" s="2" t="s">
        <v>248</v>
      </c>
      <c r="G35" s="59"/>
      <c r="I35" s="2">
        <f t="shared" si="0"/>
        <v>25</v>
      </c>
    </row>
    <row r="36" spans="1:9" x14ac:dyDescent="0.35">
      <c r="A36" s="2">
        <v>34</v>
      </c>
      <c r="B36" s="2">
        <v>20160703040028</v>
      </c>
      <c r="C36" s="2">
        <v>13</v>
      </c>
      <c r="D36" s="2" t="s">
        <v>53</v>
      </c>
      <c r="E36" s="2">
        <v>20</v>
      </c>
      <c r="F36" s="2" t="s">
        <v>71</v>
      </c>
      <c r="G36" s="59"/>
      <c r="I36" s="2">
        <f t="shared" si="0"/>
        <v>27</v>
      </c>
    </row>
    <row r="37" spans="1:9" x14ac:dyDescent="0.35">
      <c r="A37" s="2">
        <v>35</v>
      </c>
      <c r="B37" s="2">
        <v>18201503020163</v>
      </c>
      <c r="C37" s="2">
        <v>23</v>
      </c>
      <c r="D37" s="2" t="s">
        <v>75</v>
      </c>
      <c r="E37" s="2">
        <v>16</v>
      </c>
      <c r="F37" s="2" t="s">
        <v>62</v>
      </c>
      <c r="G37" s="59"/>
      <c r="I37" s="2">
        <f t="shared" si="0"/>
        <v>8</v>
      </c>
    </row>
    <row r="38" spans="1:9" x14ac:dyDescent="0.35">
      <c r="A38" s="2">
        <v>36</v>
      </c>
      <c r="B38" s="2">
        <v>20160703020104</v>
      </c>
      <c r="C38" s="2">
        <v>9</v>
      </c>
      <c r="D38" s="2" t="s">
        <v>42</v>
      </c>
      <c r="E38" s="2">
        <v>13</v>
      </c>
      <c r="F38" s="2" t="s">
        <v>53</v>
      </c>
      <c r="G38" s="59"/>
      <c r="I38" s="2">
        <f t="shared" si="0"/>
        <v>21</v>
      </c>
    </row>
    <row r="39" spans="1:9" x14ac:dyDescent="0.35">
      <c r="A39" s="2">
        <v>37</v>
      </c>
      <c r="B39" s="2">
        <v>20160703020043</v>
      </c>
      <c r="C39" s="2">
        <v>13</v>
      </c>
      <c r="D39" s="2" t="s">
        <v>53</v>
      </c>
      <c r="E39" s="2" t="e">
        <v>#N/A</v>
      </c>
      <c r="F39" s="2" t="s">
        <v>211</v>
      </c>
      <c r="G39" s="59"/>
      <c r="I39" s="2">
        <f t="shared" si="0"/>
        <v>27</v>
      </c>
    </row>
    <row r="40" spans="1:9" x14ac:dyDescent="0.35">
      <c r="A40" s="2">
        <v>38</v>
      </c>
      <c r="B40" s="2">
        <v>20170703032197</v>
      </c>
      <c r="C40" s="2">
        <v>16</v>
      </c>
      <c r="D40" s="2" t="s">
        <v>62</v>
      </c>
      <c r="E40" s="2" t="e">
        <v>#N/A</v>
      </c>
      <c r="F40" s="2" t="s">
        <v>202</v>
      </c>
      <c r="G40" s="59"/>
      <c r="I40" s="2">
        <f t="shared" si="0"/>
        <v>23</v>
      </c>
    </row>
    <row r="41" spans="1:9" x14ac:dyDescent="0.35">
      <c r="A41" s="2">
        <v>39</v>
      </c>
      <c r="B41" s="2">
        <v>20170703032093</v>
      </c>
      <c r="C41" s="2">
        <v>13</v>
      </c>
      <c r="D41" s="2" t="s">
        <v>53</v>
      </c>
      <c r="E41" s="2">
        <v>12</v>
      </c>
      <c r="F41" s="2" t="s">
        <v>50</v>
      </c>
      <c r="G41" s="59"/>
      <c r="I41" s="2">
        <f t="shared" si="0"/>
        <v>27</v>
      </c>
    </row>
    <row r="42" spans="1:9" x14ac:dyDescent="0.35">
      <c r="A42" s="2">
        <v>40</v>
      </c>
      <c r="B42" s="2">
        <v>18201503030064</v>
      </c>
      <c r="C42" s="2">
        <v>15</v>
      </c>
      <c r="D42" s="2" t="s">
        <v>59</v>
      </c>
      <c r="E42" s="2">
        <v>12</v>
      </c>
      <c r="F42" s="2" t="s">
        <v>50</v>
      </c>
      <c r="G42" s="59"/>
      <c r="I42" s="2">
        <f t="shared" si="0"/>
        <v>23</v>
      </c>
    </row>
    <row r="43" spans="1:9" x14ac:dyDescent="0.35">
      <c r="A43" s="2">
        <v>41</v>
      </c>
      <c r="B43" s="2">
        <v>20170703032100</v>
      </c>
      <c r="C43" s="2" t="e">
        <v>#N/A</v>
      </c>
      <c r="D43" s="2" t="s">
        <v>265</v>
      </c>
      <c r="E43" s="2">
        <v>15</v>
      </c>
      <c r="F43" s="2" t="s">
        <v>59</v>
      </c>
      <c r="G43" s="59"/>
      <c r="I43" s="2">
        <f t="shared" si="0"/>
        <v>13</v>
      </c>
    </row>
    <row r="44" spans="1:9" x14ac:dyDescent="0.35">
      <c r="A44" s="2">
        <v>42</v>
      </c>
      <c r="B44" s="2">
        <v>18201503030027</v>
      </c>
      <c r="C44" s="2">
        <v>3</v>
      </c>
      <c r="D44" s="2" t="s">
        <v>25</v>
      </c>
      <c r="E44" s="2">
        <v>15</v>
      </c>
      <c r="F44" s="2" t="s">
        <v>59</v>
      </c>
      <c r="G44" s="59"/>
      <c r="I44" s="2">
        <f t="shared" si="0"/>
        <v>19</v>
      </c>
    </row>
    <row r="45" spans="1:9" x14ac:dyDescent="0.35">
      <c r="A45" s="2">
        <v>43</v>
      </c>
      <c r="B45" s="2">
        <v>20160703020008</v>
      </c>
      <c r="C45" s="2" t="e">
        <v>#N/A</v>
      </c>
      <c r="D45" s="2" t="s">
        <v>241</v>
      </c>
      <c r="E45" s="2">
        <v>15</v>
      </c>
      <c r="F45" s="2" t="s">
        <v>59</v>
      </c>
      <c r="G45" s="59"/>
      <c r="I45" s="2">
        <f t="shared" si="0"/>
        <v>11</v>
      </c>
    </row>
    <row r="46" spans="1:9" x14ac:dyDescent="0.35">
      <c r="A46" s="2">
        <v>44</v>
      </c>
      <c r="B46" s="2">
        <v>18201503020124</v>
      </c>
      <c r="C46" s="2">
        <v>15</v>
      </c>
      <c r="D46" s="2" t="s">
        <v>59</v>
      </c>
      <c r="E46" s="2">
        <v>8</v>
      </c>
      <c r="F46" s="2" t="s">
        <v>39</v>
      </c>
      <c r="G46" s="59"/>
      <c r="I46" s="2">
        <f t="shared" si="0"/>
        <v>23</v>
      </c>
    </row>
    <row r="47" spans="1:9" x14ac:dyDescent="0.35">
      <c r="A47" s="2">
        <v>45</v>
      </c>
      <c r="B47" s="2">
        <v>18201503020124</v>
      </c>
      <c r="C47" s="2">
        <v>15</v>
      </c>
      <c r="D47" s="2" t="s">
        <v>59</v>
      </c>
      <c r="E47" s="2">
        <v>8</v>
      </c>
      <c r="F47" s="2" t="s">
        <v>39</v>
      </c>
      <c r="G47" s="59"/>
      <c r="I47" s="2">
        <f t="shared" si="0"/>
        <v>23</v>
      </c>
    </row>
    <row r="48" spans="1:9" x14ac:dyDescent="0.35">
      <c r="A48" s="2">
        <v>46</v>
      </c>
      <c r="B48" s="2">
        <v>20170703032031</v>
      </c>
      <c r="C48" s="2">
        <v>20</v>
      </c>
      <c r="D48" s="2" t="s">
        <v>71</v>
      </c>
      <c r="E48" s="2">
        <v>19</v>
      </c>
      <c r="F48" s="2" t="s">
        <v>69</v>
      </c>
      <c r="G48" s="59"/>
      <c r="I48" s="2">
        <f t="shared" si="0"/>
        <v>16</v>
      </c>
    </row>
    <row r="49" spans="1:9" x14ac:dyDescent="0.35">
      <c r="A49" s="2">
        <v>47</v>
      </c>
      <c r="B49" s="2">
        <v>20160703020188</v>
      </c>
      <c r="C49" s="2">
        <v>8</v>
      </c>
      <c r="D49" s="2" t="s">
        <v>39</v>
      </c>
      <c r="E49" s="2">
        <v>16</v>
      </c>
      <c r="F49" s="2" t="s">
        <v>62</v>
      </c>
      <c r="G49" s="59"/>
      <c r="I49" s="2">
        <f t="shared" si="0"/>
        <v>10</v>
      </c>
    </row>
    <row r="50" spans="1:9" x14ac:dyDescent="0.35">
      <c r="A50" s="2">
        <v>48</v>
      </c>
      <c r="B50" s="2">
        <v>20160703020101</v>
      </c>
      <c r="C50" s="2">
        <v>9</v>
      </c>
      <c r="D50" s="2" t="s">
        <v>42</v>
      </c>
      <c r="E50" s="2" t="e">
        <v>#N/A</v>
      </c>
      <c r="F50" s="2" t="s">
        <v>211</v>
      </c>
      <c r="G50" s="59"/>
      <c r="I50" s="2">
        <f t="shared" si="0"/>
        <v>21</v>
      </c>
    </row>
    <row r="51" spans="1:9" x14ac:dyDescent="0.35">
      <c r="A51" s="2">
        <v>49</v>
      </c>
      <c r="B51" s="2">
        <v>20160703020062</v>
      </c>
      <c r="C51" s="2">
        <v>16</v>
      </c>
      <c r="D51" s="2" t="s">
        <v>62</v>
      </c>
      <c r="E51" s="2">
        <v>3</v>
      </c>
      <c r="F51" s="2" t="s">
        <v>25</v>
      </c>
      <c r="G51" s="59"/>
      <c r="I51" s="2">
        <f t="shared" si="0"/>
        <v>23</v>
      </c>
    </row>
    <row r="52" spans="1:9" x14ac:dyDescent="0.35">
      <c r="A52" s="2">
        <v>50</v>
      </c>
      <c r="B52" s="2">
        <v>20160703030151</v>
      </c>
      <c r="C52" s="2" t="e">
        <v>#N/A</v>
      </c>
      <c r="D52" s="2" t="s">
        <v>241</v>
      </c>
      <c r="E52" s="2">
        <v>2</v>
      </c>
      <c r="F52" s="2" t="s">
        <v>22</v>
      </c>
      <c r="G52" s="59"/>
      <c r="I52" s="2">
        <f t="shared" si="0"/>
        <v>11</v>
      </c>
    </row>
    <row r="53" spans="1:9" x14ac:dyDescent="0.35">
      <c r="A53" s="2">
        <v>51</v>
      </c>
      <c r="B53" s="2">
        <v>20160703030109</v>
      </c>
      <c r="C53" s="2">
        <v>3</v>
      </c>
      <c r="D53" s="2" t="s">
        <v>25</v>
      </c>
      <c r="E53" s="2">
        <v>9</v>
      </c>
      <c r="F53" s="2" t="s">
        <v>42</v>
      </c>
      <c r="G53" s="59"/>
      <c r="I53" s="2">
        <f t="shared" si="0"/>
        <v>19</v>
      </c>
    </row>
    <row r="54" spans="1:9" x14ac:dyDescent="0.35">
      <c r="A54" s="2">
        <v>52</v>
      </c>
      <c r="B54" s="2">
        <v>20170703032012</v>
      </c>
      <c r="C54" s="2">
        <v>19</v>
      </c>
      <c r="D54" s="2" t="s">
        <v>69</v>
      </c>
      <c r="E54" s="2">
        <v>7</v>
      </c>
      <c r="F54" s="2" t="s">
        <v>177</v>
      </c>
      <c r="G54" s="59"/>
      <c r="I54" s="2">
        <f t="shared" si="0"/>
        <v>18</v>
      </c>
    </row>
    <row r="55" spans="1:9" x14ac:dyDescent="0.35">
      <c r="A55" s="2">
        <v>53</v>
      </c>
      <c r="B55" s="2">
        <v>20170703032184</v>
      </c>
      <c r="C55" s="2">
        <v>19</v>
      </c>
      <c r="D55" s="2" t="s">
        <v>69</v>
      </c>
      <c r="E55" s="2">
        <v>20</v>
      </c>
      <c r="F55" s="2" t="s">
        <v>71</v>
      </c>
      <c r="G55" s="59"/>
      <c r="I55" s="2">
        <f t="shared" si="0"/>
        <v>18</v>
      </c>
    </row>
    <row r="56" spans="1:9" x14ac:dyDescent="0.35">
      <c r="A56" s="2">
        <v>54</v>
      </c>
      <c r="B56" s="2">
        <v>20170703032027</v>
      </c>
      <c r="C56" s="2" t="e">
        <v>#N/A</v>
      </c>
      <c r="D56" s="2" t="s">
        <v>265</v>
      </c>
      <c r="E56" s="2">
        <v>2</v>
      </c>
      <c r="F56" s="2" t="s">
        <v>22</v>
      </c>
      <c r="G56" s="59"/>
      <c r="I56" s="2">
        <f t="shared" si="0"/>
        <v>13</v>
      </c>
    </row>
    <row r="57" spans="1:9" x14ac:dyDescent="0.35">
      <c r="A57" s="2">
        <v>55</v>
      </c>
      <c r="B57" s="2">
        <v>20170703032103</v>
      </c>
      <c r="C57" s="2">
        <v>16</v>
      </c>
      <c r="D57" s="2" t="s">
        <v>62</v>
      </c>
      <c r="E57" s="2">
        <v>19</v>
      </c>
      <c r="F57" s="2" t="s">
        <v>69</v>
      </c>
      <c r="G57" s="59"/>
      <c r="I57" s="2">
        <f t="shared" si="0"/>
        <v>23</v>
      </c>
    </row>
    <row r="58" spans="1:9" x14ac:dyDescent="0.35">
      <c r="A58" s="2">
        <v>56</v>
      </c>
      <c r="B58" s="2">
        <v>20170703031071</v>
      </c>
      <c r="C58" s="2">
        <v>19</v>
      </c>
      <c r="D58" s="2" t="s">
        <v>69</v>
      </c>
      <c r="E58" s="2" t="e">
        <v>#N/A</v>
      </c>
      <c r="F58" s="2" t="s">
        <v>294</v>
      </c>
      <c r="G58" s="59"/>
      <c r="I58" s="2">
        <f t="shared" si="0"/>
        <v>18</v>
      </c>
    </row>
    <row r="59" spans="1:9" x14ac:dyDescent="0.35">
      <c r="A59" s="2">
        <v>57</v>
      </c>
      <c r="B59" s="2">
        <v>20160703030081</v>
      </c>
      <c r="C59" s="2">
        <v>16</v>
      </c>
      <c r="D59" s="2" t="s">
        <v>62</v>
      </c>
      <c r="E59" s="2">
        <v>2</v>
      </c>
      <c r="F59" s="2" t="s">
        <v>22</v>
      </c>
      <c r="G59" s="59"/>
      <c r="I59" s="2">
        <f t="shared" si="0"/>
        <v>23</v>
      </c>
    </row>
    <row r="60" spans="1:9" x14ac:dyDescent="0.35">
      <c r="A60" s="2">
        <v>58</v>
      </c>
      <c r="B60" s="2">
        <v>20170703031035</v>
      </c>
      <c r="C60" s="2">
        <v>15</v>
      </c>
      <c r="D60" s="2" t="s">
        <v>59</v>
      </c>
      <c r="E60" s="2" t="e">
        <v>#N/A</v>
      </c>
      <c r="F60" s="2" t="s">
        <v>226</v>
      </c>
      <c r="G60" s="59"/>
      <c r="I60" s="2">
        <f t="shared" si="0"/>
        <v>23</v>
      </c>
    </row>
    <row r="61" spans="1:9" x14ac:dyDescent="0.35">
      <c r="A61" s="2">
        <v>59</v>
      </c>
      <c r="B61" s="2">
        <v>20170703032075</v>
      </c>
      <c r="C61" s="2">
        <v>13</v>
      </c>
      <c r="D61" s="2" t="s">
        <v>53</v>
      </c>
      <c r="E61" s="2">
        <v>20</v>
      </c>
      <c r="F61" s="2" t="s">
        <v>71</v>
      </c>
      <c r="G61" s="59"/>
      <c r="I61" s="2">
        <f t="shared" si="0"/>
        <v>27</v>
      </c>
    </row>
    <row r="62" spans="1:9" x14ac:dyDescent="0.35">
      <c r="A62" s="2">
        <v>60</v>
      </c>
      <c r="B62" s="2">
        <v>20160703020042</v>
      </c>
      <c r="C62" s="2">
        <v>2</v>
      </c>
      <c r="D62" s="2" t="s">
        <v>22</v>
      </c>
      <c r="E62" s="2">
        <v>10</v>
      </c>
      <c r="F62" s="2" t="s">
        <v>45</v>
      </c>
      <c r="G62" s="59"/>
      <c r="I62" s="2">
        <f t="shared" si="0"/>
        <v>25</v>
      </c>
    </row>
    <row r="63" spans="1:9" x14ac:dyDescent="0.35">
      <c r="A63" s="2">
        <v>61</v>
      </c>
      <c r="B63" s="2">
        <v>20170703042043</v>
      </c>
      <c r="C63" s="2" t="e">
        <v>#N/A</v>
      </c>
      <c r="D63" s="2" t="s">
        <v>191</v>
      </c>
      <c r="E63" s="2">
        <v>2</v>
      </c>
      <c r="F63" s="2" t="s">
        <v>22</v>
      </c>
      <c r="G63" s="59"/>
      <c r="I63" s="2">
        <f t="shared" si="0"/>
        <v>13</v>
      </c>
    </row>
    <row r="64" spans="1:9" x14ac:dyDescent="0.35">
      <c r="A64" s="2">
        <v>62</v>
      </c>
      <c r="B64" s="2">
        <v>20160703020114</v>
      </c>
      <c r="C64" s="2" t="e">
        <v>#N/A</v>
      </c>
      <c r="D64" s="2" t="s">
        <v>214</v>
      </c>
      <c r="E64" s="2" t="e">
        <v>#N/A</v>
      </c>
      <c r="F64" s="2" t="s">
        <v>307</v>
      </c>
      <c r="G64" s="59"/>
      <c r="I64" s="2">
        <f t="shared" si="0"/>
        <v>26</v>
      </c>
    </row>
    <row r="65" spans="1:9" x14ac:dyDescent="0.35">
      <c r="A65" s="2">
        <v>63</v>
      </c>
      <c r="B65" s="2">
        <v>18201503020044</v>
      </c>
      <c r="C65" s="2">
        <v>9</v>
      </c>
      <c r="D65" s="2" t="s">
        <v>42</v>
      </c>
      <c r="E65" s="2">
        <v>20</v>
      </c>
      <c r="F65" s="2" t="s">
        <v>71</v>
      </c>
      <c r="G65" s="59"/>
      <c r="I65" s="2">
        <f t="shared" si="0"/>
        <v>21</v>
      </c>
    </row>
    <row r="66" spans="1:9" x14ac:dyDescent="0.35">
      <c r="A66" s="2">
        <v>64</v>
      </c>
      <c r="B66" s="2">
        <v>20160703020086</v>
      </c>
      <c r="C66" s="2">
        <v>9</v>
      </c>
      <c r="D66" s="2" t="s">
        <v>42</v>
      </c>
      <c r="E66" s="2">
        <v>4</v>
      </c>
      <c r="F66" s="2" t="s">
        <v>28</v>
      </c>
      <c r="G66" s="59"/>
      <c r="I66" s="2">
        <f t="shared" si="0"/>
        <v>21</v>
      </c>
    </row>
    <row r="67" spans="1:9" x14ac:dyDescent="0.35">
      <c r="A67" s="2">
        <v>65</v>
      </c>
      <c r="B67" s="2">
        <v>20170703032195</v>
      </c>
      <c r="C67" s="2">
        <v>15</v>
      </c>
      <c r="D67" s="2" t="s">
        <v>59</v>
      </c>
      <c r="E67" s="2">
        <v>19</v>
      </c>
      <c r="F67" s="2" t="s">
        <v>69</v>
      </c>
      <c r="G67" s="59"/>
      <c r="I67" s="2">
        <f t="shared" ref="I67:I130" si="1">COUNTIF(D:H,D67)</f>
        <v>23</v>
      </c>
    </row>
    <row r="68" spans="1:9" x14ac:dyDescent="0.35">
      <c r="A68" s="2">
        <v>66</v>
      </c>
      <c r="B68" s="2">
        <v>20160703020125</v>
      </c>
      <c r="C68" s="2" t="e">
        <v>#N/A</v>
      </c>
      <c r="D68" s="2" t="s">
        <v>214</v>
      </c>
      <c r="E68" s="2">
        <v>8</v>
      </c>
      <c r="F68" s="2" t="s">
        <v>39</v>
      </c>
      <c r="G68" s="59"/>
      <c r="I68" s="2">
        <f t="shared" si="1"/>
        <v>26</v>
      </c>
    </row>
    <row r="69" spans="1:9" x14ac:dyDescent="0.35">
      <c r="A69" s="2">
        <v>67</v>
      </c>
      <c r="B69" s="2">
        <v>20160703030101</v>
      </c>
      <c r="C69" s="2">
        <v>9</v>
      </c>
      <c r="D69" s="2" t="s">
        <v>42</v>
      </c>
      <c r="E69" s="2">
        <v>5</v>
      </c>
      <c r="F69" s="2" t="s">
        <v>31</v>
      </c>
      <c r="G69" s="59"/>
      <c r="I69" s="2">
        <f t="shared" si="1"/>
        <v>21</v>
      </c>
    </row>
    <row r="70" spans="1:9" x14ac:dyDescent="0.35">
      <c r="A70" s="2">
        <v>68</v>
      </c>
      <c r="B70" s="2">
        <v>18201503030129</v>
      </c>
      <c r="C70" s="2">
        <v>1</v>
      </c>
      <c r="D70" s="2" t="s">
        <v>19</v>
      </c>
      <c r="E70" s="2" t="e">
        <v>#N/A</v>
      </c>
      <c r="F70" s="2" t="s">
        <v>202</v>
      </c>
      <c r="G70" s="59"/>
      <c r="I70" s="2">
        <f t="shared" si="1"/>
        <v>12</v>
      </c>
    </row>
    <row r="71" spans="1:9" x14ac:dyDescent="0.35">
      <c r="A71" s="2">
        <v>69</v>
      </c>
      <c r="B71" s="2">
        <v>20160703020206</v>
      </c>
      <c r="C71" s="2" t="e">
        <v>#N/A</v>
      </c>
      <c r="D71" s="2" t="s">
        <v>201</v>
      </c>
      <c r="E71" s="2">
        <v>2</v>
      </c>
      <c r="F71" s="2" t="s">
        <v>22</v>
      </c>
      <c r="G71" s="59"/>
      <c r="I71" s="2">
        <f t="shared" si="1"/>
        <v>14</v>
      </c>
    </row>
    <row r="72" spans="1:9" x14ac:dyDescent="0.35">
      <c r="A72" s="2">
        <v>70</v>
      </c>
      <c r="B72" s="2">
        <v>20160703020119</v>
      </c>
      <c r="C72" s="2" t="e">
        <v>#N/A</v>
      </c>
      <c r="D72" s="2" t="s">
        <v>202</v>
      </c>
      <c r="E72" s="2">
        <v>9</v>
      </c>
      <c r="F72" s="2" t="s">
        <v>42</v>
      </c>
      <c r="G72" s="59"/>
      <c r="I72" s="2">
        <f t="shared" si="1"/>
        <v>21</v>
      </c>
    </row>
    <row r="73" spans="1:9" x14ac:dyDescent="0.35">
      <c r="A73" s="2">
        <v>71</v>
      </c>
      <c r="B73" s="2">
        <v>20170703042092</v>
      </c>
      <c r="C73" s="2" t="e">
        <v>#N/A</v>
      </c>
      <c r="D73" s="2" t="s">
        <v>265</v>
      </c>
      <c r="E73" s="2">
        <v>3</v>
      </c>
      <c r="F73" s="2" t="s">
        <v>25</v>
      </c>
      <c r="G73" s="59"/>
      <c r="I73" s="2">
        <f t="shared" si="1"/>
        <v>13</v>
      </c>
    </row>
    <row r="74" spans="1:9" x14ac:dyDescent="0.35">
      <c r="A74" s="2">
        <v>72</v>
      </c>
      <c r="B74" s="2">
        <v>20160703020065</v>
      </c>
      <c r="C74" s="2" t="e">
        <v>#N/A</v>
      </c>
      <c r="D74" s="2" t="s">
        <v>191</v>
      </c>
      <c r="E74" s="2">
        <v>8</v>
      </c>
      <c r="F74" s="2" t="s">
        <v>39</v>
      </c>
      <c r="G74" s="59"/>
      <c r="I74" s="2">
        <f t="shared" si="1"/>
        <v>13</v>
      </c>
    </row>
    <row r="75" spans="1:9" x14ac:dyDescent="0.35">
      <c r="A75" s="2">
        <v>73</v>
      </c>
      <c r="B75" s="2">
        <v>18201503040065</v>
      </c>
      <c r="C75" s="2" t="e">
        <v>#N/A</v>
      </c>
      <c r="D75" s="2" t="s">
        <v>214</v>
      </c>
      <c r="E75" s="2">
        <v>18</v>
      </c>
      <c r="F75" s="2" t="s">
        <v>67</v>
      </c>
      <c r="G75" s="59"/>
      <c r="I75" s="2">
        <f t="shared" si="1"/>
        <v>26</v>
      </c>
    </row>
    <row r="76" spans="1:9" x14ac:dyDescent="0.35">
      <c r="A76" s="2">
        <v>74</v>
      </c>
      <c r="B76" s="2">
        <v>20160703020180</v>
      </c>
      <c r="C76" s="2">
        <v>8</v>
      </c>
      <c r="D76" s="2" t="s">
        <v>39</v>
      </c>
      <c r="E76" s="2">
        <v>15</v>
      </c>
      <c r="F76" s="2" t="s">
        <v>59</v>
      </c>
      <c r="G76" s="59"/>
      <c r="I76" s="2">
        <f t="shared" si="1"/>
        <v>10</v>
      </c>
    </row>
    <row r="77" spans="1:9" x14ac:dyDescent="0.35">
      <c r="A77" s="2">
        <v>75</v>
      </c>
      <c r="B77" s="2">
        <v>20170703042107</v>
      </c>
      <c r="C77" s="2">
        <v>18</v>
      </c>
      <c r="D77" s="2" t="s">
        <v>67</v>
      </c>
      <c r="E77" s="2">
        <v>2</v>
      </c>
      <c r="F77" s="2" t="s">
        <v>22</v>
      </c>
      <c r="G77" s="59"/>
      <c r="I77" s="2">
        <f t="shared" si="1"/>
        <v>17</v>
      </c>
    </row>
    <row r="78" spans="1:9" x14ac:dyDescent="0.35">
      <c r="A78" s="2">
        <v>76</v>
      </c>
      <c r="B78" s="2">
        <v>20160703020006</v>
      </c>
      <c r="C78" s="2">
        <v>24</v>
      </c>
      <c r="D78" s="2" t="s">
        <v>77</v>
      </c>
      <c r="E78" s="2">
        <v>15</v>
      </c>
      <c r="F78" s="2" t="s">
        <v>59</v>
      </c>
      <c r="G78" s="59"/>
      <c r="I78" s="2">
        <f t="shared" si="1"/>
        <v>12</v>
      </c>
    </row>
    <row r="79" spans="1:9" x14ac:dyDescent="0.35">
      <c r="A79" s="2">
        <v>77</v>
      </c>
      <c r="B79" s="2">
        <v>20160703020006</v>
      </c>
      <c r="C79" s="2">
        <v>24</v>
      </c>
      <c r="D79" s="2" t="s">
        <v>77</v>
      </c>
      <c r="E79" s="2">
        <v>15</v>
      </c>
      <c r="F79" s="2" t="s">
        <v>59</v>
      </c>
      <c r="G79" s="59"/>
      <c r="I79" s="2">
        <f t="shared" si="1"/>
        <v>12</v>
      </c>
    </row>
    <row r="80" spans="1:9" x14ac:dyDescent="0.35">
      <c r="A80" s="2">
        <v>78</v>
      </c>
      <c r="B80" s="2">
        <v>20160703020093</v>
      </c>
      <c r="C80" s="2" t="e">
        <v>#N/A</v>
      </c>
      <c r="D80" s="2" t="s">
        <v>265</v>
      </c>
      <c r="E80" s="2">
        <v>3</v>
      </c>
      <c r="F80" s="2" t="s">
        <v>25</v>
      </c>
      <c r="G80" s="59"/>
      <c r="I80" s="2">
        <f t="shared" si="1"/>
        <v>13</v>
      </c>
    </row>
    <row r="81" spans="1:9" x14ac:dyDescent="0.35">
      <c r="A81" s="2">
        <v>79</v>
      </c>
      <c r="B81" s="2">
        <v>20160703030031</v>
      </c>
      <c r="C81" s="2">
        <v>3</v>
      </c>
      <c r="D81" s="2" t="s">
        <v>25</v>
      </c>
      <c r="E81" s="2" t="e">
        <v>#N/A</v>
      </c>
      <c r="F81" s="2" t="s">
        <v>294</v>
      </c>
      <c r="G81" s="59"/>
      <c r="I81" s="2">
        <f t="shared" si="1"/>
        <v>19</v>
      </c>
    </row>
    <row r="82" spans="1:9" x14ac:dyDescent="0.35">
      <c r="A82" s="2">
        <v>80</v>
      </c>
      <c r="B82" s="2">
        <v>20160703020215</v>
      </c>
      <c r="C82" s="2" t="e">
        <v>#N/A</v>
      </c>
      <c r="D82" s="2" t="s">
        <v>201</v>
      </c>
      <c r="E82" s="2">
        <v>15</v>
      </c>
      <c r="F82" s="2" t="s">
        <v>59</v>
      </c>
      <c r="G82" s="59"/>
      <c r="I82" s="2">
        <f t="shared" si="1"/>
        <v>14</v>
      </c>
    </row>
    <row r="83" spans="1:9" x14ac:dyDescent="0.35">
      <c r="A83" s="2">
        <v>81</v>
      </c>
      <c r="B83" s="2">
        <v>20160703020091</v>
      </c>
      <c r="C83" s="2">
        <v>9</v>
      </c>
      <c r="D83" s="2" t="s">
        <v>42</v>
      </c>
      <c r="E83" s="2">
        <v>4</v>
      </c>
      <c r="F83" s="2" t="s">
        <v>28</v>
      </c>
      <c r="G83" s="59"/>
      <c r="I83" s="2">
        <f t="shared" si="1"/>
        <v>21</v>
      </c>
    </row>
    <row r="84" spans="1:9" x14ac:dyDescent="0.35">
      <c r="A84" s="2">
        <v>82</v>
      </c>
      <c r="B84" s="2">
        <v>20160703020220</v>
      </c>
      <c r="C84" s="2">
        <v>25</v>
      </c>
      <c r="D84" s="2" t="s">
        <v>79</v>
      </c>
      <c r="E84" s="2">
        <v>1</v>
      </c>
      <c r="F84" s="2" t="s">
        <v>19</v>
      </c>
      <c r="G84" s="59"/>
      <c r="I84" s="2">
        <f t="shared" si="1"/>
        <v>7</v>
      </c>
    </row>
    <row r="85" spans="1:9" x14ac:dyDescent="0.35">
      <c r="A85" s="2">
        <v>83</v>
      </c>
      <c r="B85" s="2">
        <v>20170703032091</v>
      </c>
      <c r="C85" s="2">
        <v>19</v>
      </c>
      <c r="D85" s="2" t="s">
        <v>69</v>
      </c>
      <c r="E85" s="2">
        <v>5</v>
      </c>
      <c r="F85" s="2" t="s">
        <v>31</v>
      </c>
      <c r="G85" s="59"/>
      <c r="I85" s="2">
        <f t="shared" si="1"/>
        <v>18</v>
      </c>
    </row>
    <row r="86" spans="1:9" x14ac:dyDescent="0.35">
      <c r="A86" s="2">
        <v>84</v>
      </c>
      <c r="B86" s="2">
        <v>20160703030146</v>
      </c>
      <c r="C86" s="2">
        <v>1</v>
      </c>
      <c r="D86" s="2" t="s">
        <v>19</v>
      </c>
      <c r="E86" s="2" t="e">
        <v>#N/A</v>
      </c>
      <c r="F86" s="2" t="s">
        <v>202</v>
      </c>
      <c r="G86" s="59"/>
      <c r="I86" s="2">
        <f t="shared" si="1"/>
        <v>12</v>
      </c>
    </row>
    <row r="87" spans="1:9" x14ac:dyDescent="0.35">
      <c r="A87" s="2">
        <v>85</v>
      </c>
      <c r="B87" s="2">
        <v>20160703030088</v>
      </c>
      <c r="C87" s="2">
        <v>20</v>
      </c>
      <c r="D87" s="2" t="s">
        <v>71</v>
      </c>
      <c r="E87" s="2">
        <v>9</v>
      </c>
      <c r="F87" s="2" t="s">
        <v>42</v>
      </c>
      <c r="G87" s="59"/>
      <c r="I87" s="2">
        <f t="shared" si="1"/>
        <v>16</v>
      </c>
    </row>
    <row r="88" spans="1:9" x14ac:dyDescent="0.35">
      <c r="A88" s="2">
        <v>86</v>
      </c>
      <c r="B88" s="2">
        <v>20170703042114</v>
      </c>
      <c r="C88" s="2" t="e">
        <v>#N/A</v>
      </c>
      <c r="D88" s="2" t="s">
        <v>191</v>
      </c>
      <c r="E88" s="2" t="e">
        <v>#N/A</v>
      </c>
      <c r="F88" s="2" t="s">
        <v>354</v>
      </c>
      <c r="G88" s="59"/>
      <c r="I88" s="2">
        <f t="shared" si="1"/>
        <v>13</v>
      </c>
    </row>
    <row r="89" spans="1:9" x14ac:dyDescent="0.35">
      <c r="A89" s="2">
        <v>87</v>
      </c>
      <c r="B89" s="2">
        <v>20160703030049</v>
      </c>
      <c r="C89" s="2">
        <v>3</v>
      </c>
      <c r="D89" s="2" t="s">
        <v>25</v>
      </c>
      <c r="E89" s="2">
        <v>9</v>
      </c>
      <c r="F89" s="2" t="s">
        <v>42</v>
      </c>
      <c r="G89" s="59"/>
      <c r="I89" s="2">
        <f t="shared" si="1"/>
        <v>19</v>
      </c>
    </row>
    <row r="90" spans="1:9" x14ac:dyDescent="0.35">
      <c r="A90" s="2">
        <v>88</v>
      </c>
      <c r="B90" s="2">
        <v>18201302020042</v>
      </c>
      <c r="C90" s="2" t="e">
        <v>#N/A</v>
      </c>
      <c r="D90" s="2" t="s">
        <v>201</v>
      </c>
      <c r="E90" s="2" t="e">
        <v>#N/A</v>
      </c>
      <c r="F90" s="2" t="s">
        <v>202</v>
      </c>
      <c r="G90" s="59"/>
      <c r="I90" s="2">
        <f t="shared" si="1"/>
        <v>14</v>
      </c>
    </row>
    <row r="91" spans="1:9" x14ac:dyDescent="0.35">
      <c r="A91" s="2">
        <v>89</v>
      </c>
      <c r="B91" s="2">
        <v>20170703041035</v>
      </c>
      <c r="C91" s="2">
        <v>6</v>
      </c>
      <c r="D91" s="2" t="s">
        <v>34</v>
      </c>
      <c r="E91" s="2">
        <v>3</v>
      </c>
      <c r="F91" s="2" t="s">
        <v>25</v>
      </c>
      <c r="G91" s="59"/>
      <c r="I91" s="2">
        <f t="shared" si="1"/>
        <v>8</v>
      </c>
    </row>
    <row r="92" spans="1:9" x14ac:dyDescent="0.35">
      <c r="A92" s="2">
        <v>90</v>
      </c>
      <c r="B92" s="2">
        <v>20160703020067</v>
      </c>
      <c r="C92" s="2">
        <v>18</v>
      </c>
      <c r="D92" s="2" t="s">
        <v>67</v>
      </c>
      <c r="E92" s="2" t="e">
        <v>#N/A</v>
      </c>
      <c r="F92" s="2" t="s">
        <v>307</v>
      </c>
      <c r="G92" s="59"/>
      <c r="I92" s="2">
        <f t="shared" si="1"/>
        <v>17</v>
      </c>
    </row>
    <row r="93" spans="1:9" x14ac:dyDescent="0.35">
      <c r="A93" s="2">
        <v>91</v>
      </c>
      <c r="B93" s="2">
        <v>18201302020113</v>
      </c>
      <c r="C93" s="2">
        <v>9</v>
      </c>
      <c r="D93" s="2" t="s">
        <v>42</v>
      </c>
      <c r="E93" s="2">
        <v>2</v>
      </c>
      <c r="F93" s="2" t="s">
        <v>22</v>
      </c>
      <c r="G93" s="59"/>
      <c r="I93" s="2">
        <f t="shared" si="1"/>
        <v>21</v>
      </c>
    </row>
    <row r="94" spans="1:9" x14ac:dyDescent="0.35">
      <c r="A94" s="2">
        <v>92</v>
      </c>
      <c r="B94" s="2">
        <v>18201503020062</v>
      </c>
      <c r="C94" s="2">
        <v>13</v>
      </c>
      <c r="D94" s="2" t="s">
        <v>53</v>
      </c>
      <c r="E94" s="2">
        <v>4</v>
      </c>
      <c r="F94" s="2" t="s">
        <v>28</v>
      </c>
      <c r="G94" s="59"/>
      <c r="I94" s="2">
        <f t="shared" si="1"/>
        <v>27</v>
      </c>
    </row>
    <row r="95" spans="1:9" x14ac:dyDescent="0.35">
      <c r="A95" s="2">
        <v>93</v>
      </c>
      <c r="B95" s="2">
        <v>18201503040008</v>
      </c>
      <c r="C95" s="2">
        <v>13</v>
      </c>
      <c r="D95" s="2" t="s">
        <v>53</v>
      </c>
      <c r="E95" s="2">
        <v>15</v>
      </c>
      <c r="F95" s="2" t="s">
        <v>59</v>
      </c>
      <c r="G95" s="59"/>
      <c r="I95" s="2">
        <f t="shared" si="1"/>
        <v>27</v>
      </c>
    </row>
    <row r="96" spans="1:9" x14ac:dyDescent="0.35">
      <c r="A96" s="2">
        <v>94</v>
      </c>
      <c r="B96" s="2">
        <v>20160703020028</v>
      </c>
      <c r="C96" s="2" t="e">
        <v>#N/A</v>
      </c>
      <c r="D96" s="2" t="s">
        <v>241</v>
      </c>
      <c r="E96" s="2">
        <v>2</v>
      </c>
      <c r="F96" s="2" t="s">
        <v>22</v>
      </c>
      <c r="G96" s="59"/>
      <c r="I96" s="2">
        <f t="shared" si="1"/>
        <v>11</v>
      </c>
    </row>
    <row r="97" spans="1:9" x14ac:dyDescent="0.35">
      <c r="A97" s="2">
        <v>95</v>
      </c>
      <c r="B97" s="2">
        <v>18201302020042</v>
      </c>
      <c r="C97" s="2" t="e">
        <v>#N/A</v>
      </c>
      <c r="D97" s="2" t="s">
        <v>201</v>
      </c>
      <c r="E97" s="2" t="e">
        <v>#N/A</v>
      </c>
      <c r="F97" s="2" t="s">
        <v>202</v>
      </c>
      <c r="G97" s="59"/>
      <c r="I97" s="2">
        <f t="shared" si="1"/>
        <v>14</v>
      </c>
    </row>
    <row r="98" spans="1:9" x14ac:dyDescent="0.35">
      <c r="A98" s="2">
        <v>96</v>
      </c>
      <c r="B98" s="2">
        <v>18201302020042</v>
      </c>
      <c r="C98" s="2" t="e">
        <v>#N/A</v>
      </c>
      <c r="D98" s="2" t="s">
        <v>201</v>
      </c>
      <c r="E98" s="2" t="e">
        <v>#N/A</v>
      </c>
      <c r="F98" s="2" t="s">
        <v>202</v>
      </c>
      <c r="G98" s="59"/>
      <c r="I98" s="2">
        <f t="shared" si="1"/>
        <v>14</v>
      </c>
    </row>
    <row r="99" spans="1:9" x14ac:dyDescent="0.35">
      <c r="A99" s="2">
        <v>97</v>
      </c>
      <c r="B99" s="2">
        <v>18201302020042</v>
      </c>
      <c r="C99" s="2" t="e">
        <v>#N/A</v>
      </c>
      <c r="D99" s="2" t="s">
        <v>201</v>
      </c>
      <c r="E99" s="2" t="e">
        <v>#N/A</v>
      </c>
      <c r="F99" s="2" t="s">
        <v>202</v>
      </c>
      <c r="G99" s="59"/>
      <c r="I99" s="2">
        <f t="shared" si="1"/>
        <v>14</v>
      </c>
    </row>
    <row r="100" spans="1:9" x14ac:dyDescent="0.35">
      <c r="A100" s="2">
        <v>98</v>
      </c>
      <c r="B100" s="2">
        <v>20170703032181</v>
      </c>
      <c r="C100" s="2" t="e">
        <v>#N/A</v>
      </c>
      <c r="D100" s="2" t="s">
        <v>373</v>
      </c>
      <c r="E100" s="2">
        <v>13</v>
      </c>
      <c r="F100" s="2" t="s">
        <v>53</v>
      </c>
      <c r="G100" s="59"/>
      <c r="I100" s="2">
        <f t="shared" si="1"/>
        <v>7</v>
      </c>
    </row>
    <row r="101" spans="1:9" x14ac:dyDescent="0.35">
      <c r="A101" s="2">
        <v>99</v>
      </c>
      <c r="B101" s="2">
        <v>18201302020131</v>
      </c>
      <c r="C101" s="2">
        <v>2</v>
      </c>
      <c r="D101" s="2" t="s">
        <v>22</v>
      </c>
      <c r="E101" s="2">
        <v>4</v>
      </c>
      <c r="F101" s="2" t="s">
        <v>28</v>
      </c>
      <c r="G101" s="59"/>
      <c r="I101" s="2">
        <f t="shared" si="1"/>
        <v>25</v>
      </c>
    </row>
    <row r="102" spans="1:9" x14ac:dyDescent="0.35">
      <c r="A102" s="2">
        <v>100</v>
      </c>
      <c r="B102" s="2">
        <v>18201503020062</v>
      </c>
      <c r="C102" s="2">
        <v>13</v>
      </c>
      <c r="D102" s="2" t="s">
        <v>53</v>
      </c>
      <c r="E102" s="2">
        <v>4</v>
      </c>
      <c r="F102" s="2" t="s">
        <v>28</v>
      </c>
      <c r="G102" s="59"/>
      <c r="I102" s="2">
        <f t="shared" si="1"/>
        <v>27</v>
      </c>
    </row>
    <row r="103" spans="1:9" x14ac:dyDescent="0.35">
      <c r="A103" s="2">
        <v>101</v>
      </c>
      <c r="B103" s="2">
        <v>20160703030093</v>
      </c>
      <c r="C103" s="2" t="e">
        <v>#N/A</v>
      </c>
      <c r="D103" s="2" t="s">
        <v>202</v>
      </c>
      <c r="E103" s="2">
        <v>13</v>
      </c>
      <c r="F103" s="2" t="s">
        <v>53</v>
      </c>
      <c r="G103" s="59"/>
      <c r="I103" s="2">
        <f t="shared" si="1"/>
        <v>21</v>
      </c>
    </row>
    <row r="104" spans="1:9" x14ac:dyDescent="0.35">
      <c r="A104" s="2">
        <v>102</v>
      </c>
      <c r="B104" s="2">
        <v>20170703042118</v>
      </c>
      <c r="C104" s="2">
        <v>23</v>
      </c>
      <c r="D104" s="2" t="s">
        <v>75</v>
      </c>
      <c r="E104" s="2">
        <v>6</v>
      </c>
      <c r="F104" s="2" t="s">
        <v>34</v>
      </c>
      <c r="G104" s="59"/>
      <c r="I104" s="2">
        <f t="shared" si="1"/>
        <v>8</v>
      </c>
    </row>
    <row r="105" spans="1:9" x14ac:dyDescent="0.35">
      <c r="A105" s="2">
        <v>103</v>
      </c>
      <c r="B105" s="2">
        <v>20170703022183</v>
      </c>
      <c r="C105" s="2">
        <v>15</v>
      </c>
      <c r="D105" s="2" t="s">
        <v>59</v>
      </c>
      <c r="E105" s="2" t="e">
        <v>#N/A</v>
      </c>
      <c r="F105" s="2" t="s">
        <v>211</v>
      </c>
      <c r="G105" s="59"/>
      <c r="I105" s="2">
        <f t="shared" si="1"/>
        <v>23</v>
      </c>
    </row>
    <row r="106" spans="1:9" x14ac:dyDescent="0.35">
      <c r="A106" s="2">
        <v>104</v>
      </c>
      <c r="B106" s="2">
        <v>20160703030042</v>
      </c>
      <c r="C106" s="2">
        <v>24</v>
      </c>
      <c r="D106" s="2" t="s">
        <v>77</v>
      </c>
      <c r="E106" s="2">
        <v>10</v>
      </c>
      <c r="F106" s="2" t="s">
        <v>45</v>
      </c>
      <c r="G106" s="59"/>
      <c r="I106" s="2">
        <f t="shared" si="1"/>
        <v>12</v>
      </c>
    </row>
    <row r="107" spans="1:9" x14ac:dyDescent="0.35">
      <c r="A107" s="2">
        <v>105</v>
      </c>
      <c r="B107" s="2">
        <v>20170703022052</v>
      </c>
      <c r="C107" s="2" t="e">
        <v>#N/A</v>
      </c>
      <c r="D107" s="2" t="s">
        <v>387</v>
      </c>
      <c r="E107" s="2">
        <v>3</v>
      </c>
      <c r="F107" s="2" t="s">
        <v>25</v>
      </c>
      <c r="G107" s="59"/>
      <c r="I107" s="2">
        <f t="shared" si="1"/>
        <v>6</v>
      </c>
    </row>
    <row r="108" spans="1:9" x14ac:dyDescent="0.35">
      <c r="A108" s="2">
        <v>106</v>
      </c>
      <c r="B108" s="2">
        <v>20160703020208</v>
      </c>
      <c r="C108" s="2" t="e">
        <v>#N/A</v>
      </c>
      <c r="D108" s="2" t="s">
        <v>201</v>
      </c>
      <c r="E108" s="2">
        <v>12</v>
      </c>
      <c r="F108" s="2" t="s">
        <v>50</v>
      </c>
      <c r="G108" s="59"/>
      <c r="I108" s="2">
        <f t="shared" si="1"/>
        <v>14</v>
      </c>
    </row>
    <row r="109" spans="1:9" x14ac:dyDescent="0.35">
      <c r="A109" s="2">
        <v>107</v>
      </c>
      <c r="B109" s="2">
        <v>20160703020030</v>
      </c>
      <c r="C109" s="2" t="e">
        <v>#N/A</v>
      </c>
      <c r="D109" s="2" t="s">
        <v>241</v>
      </c>
      <c r="E109" s="2">
        <v>9</v>
      </c>
      <c r="F109" s="2" t="s">
        <v>42</v>
      </c>
      <c r="G109" s="59"/>
      <c r="I109" s="2">
        <f t="shared" si="1"/>
        <v>11</v>
      </c>
    </row>
    <row r="110" spans="1:9" x14ac:dyDescent="0.35">
      <c r="A110" s="2">
        <v>108</v>
      </c>
      <c r="B110" s="2">
        <v>20170703021021</v>
      </c>
      <c r="C110" s="2">
        <v>9</v>
      </c>
      <c r="D110" s="2" t="s">
        <v>42</v>
      </c>
      <c r="E110" s="2" t="e">
        <v>#N/A</v>
      </c>
      <c r="F110" s="2" t="s">
        <v>211</v>
      </c>
      <c r="G110" s="59"/>
      <c r="I110" s="2">
        <f t="shared" si="1"/>
        <v>21</v>
      </c>
    </row>
    <row r="111" spans="1:9" x14ac:dyDescent="0.35">
      <c r="A111" s="2">
        <v>109</v>
      </c>
      <c r="B111" s="2">
        <v>20160703030095</v>
      </c>
      <c r="C111" s="2" t="e">
        <v>#N/A</v>
      </c>
      <c r="D111" s="2" t="s">
        <v>202</v>
      </c>
      <c r="E111" s="2">
        <v>16</v>
      </c>
      <c r="F111" s="2" t="s">
        <v>62</v>
      </c>
      <c r="G111" s="59"/>
      <c r="I111" s="2">
        <f t="shared" si="1"/>
        <v>21</v>
      </c>
    </row>
    <row r="112" spans="1:9" x14ac:dyDescent="0.35">
      <c r="A112" s="2">
        <v>110</v>
      </c>
      <c r="B112" s="2">
        <v>20170703031065</v>
      </c>
      <c r="C112" s="2">
        <v>15</v>
      </c>
      <c r="D112" s="2" t="s">
        <v>59</v>
      </c>
      <c r="E112" s="2" t="e">
        <v>#N/A</v>
      </c>
      <c r="F112" s="2" t="s">
        <v>373</v>
      </c>
      <c r="G112" s="59"/>
      <c r="I112" s="2">
        <f t="shared" si="1"/>
        <v>23</v>
      </c>
    </row>
    <row r="113" spans="1:9" x14ac:dyDescent="0.35">
      <c r="A113" s="2">
        <v>111</v>
      </c>
      <c r="B113" s="2">
        <v>20160703020130</v>
      </c>
      <c r="C113" s="2" t="e">
        <v>#N/A</v>
      </c>
      <c r="D113" s="2" t="s">
        <v>214</v>
      </c>
      <c r="E113" s="2" t="e">
        <v>#N/A</v>
      </c>
      <c r="F113" s="2" t="s">
        <v>226</v>
      </c>
      <c r="G113" s="59"/>
      <c r="I113" s="2">
        <f t="shared" si="1"/>
        <v>26</v>
      </c>
    </row>
    <row r="114" spans="1:9" x14ac:dyDescent="0.35">
      <c r="A114" s="2">
        <v>112</v>
      </c>
      <c r="B114" s="2">
        <v>20170703042080</v>
      </c>
      <c r="C114" s="2">
        <v>3</v>
      </c>
      <c r="D114" s="2" t="s">
        <v>25</v>
      </c>
      <c r="E114" s="2" t="e">
        <v>#N/A</v>
      </c>
      <c r="F114" s="2" t="s">
        <v>248</v>
      </c>
      <c r="G114" s="59"/>
      <c r="I114" s="2">
        <f t="shared" si="1"/>
        <v>19</v>
      </c>
    </row>
    <row r="115" spans="1:9" x14ac:dyDescent="0.35">
      <c r="A115" s="2">
        <v>113</v>
      </c>
      <c r="B115" s="2">
        <v>20170703032115</v>
      </c>
      <c r="C115" s="2" t="e">
        <v>#N/A</v>
      </c>
      <c r="D115" s="2" t="s">
        <v>202</v>
      </c>
      <c r="E115" s="2">
        <v>13</v>
      </c>
      <c r="F115" s="2" t="s">
        <v>53</v>
      </c>
      <c r="G115" s="59"/>
      <c r="I115" s="2">
        <f t="shared" si="1"/>
        <v>21</v>
      </c>
    </row>
    <row r="116" spans="1:9" x14ac:dyDescent="0.35">
      <c r="A116" s="2">
        <v>114</v>
      </c>
      <c r="B116" s="2">
        <v>20170703021130</v>
      </c>
      <c r="C116" s="2">
        <v>2</v>
      </c>
      <c r="D116" s="2" t="s">
        <v>22</v>
      </c>
      <c r="E116" s="2">
        <v>9</v>
      </c>
      <c r="F116" s="2" t="s">
        <v>42</v>
      </c>
      <c r="G116" s="59"/>
      <c r="I116" s="2">
        <f t="shared" si="1"/>
        <v>25</v>
      </c>
    </row>
    <row r="117" spans="1:9" x14ac:dyDescent="0.35">
      <c r="A117" s="2">
        <v>115</v>
      </c>
      <c r="B117" s="2">
        <v>20170703031190</v>
      </c>
      <c r="C117" s="2" t="e">
        <v>#N/A</v>
      </c>
      <c r="D117" s="2" t="s">
        <v>373</v>
      </c>
      <c r="E117" s="2">
        <v>1</v>
      </c>
      <c r="F117" s="2" t="s">
        <v>19</v>
      </c>
      <c r="G117" s="59"/>
      <c r="I117" s="2">
        <f t="shared" si="1"/>
        <v>7</v>
      </c>
    </row>
    <row r="118" spans="1:9" x14ac:dyDescent="0.35">
      <c r="A118" s="2">
        <v>116</v>
      </c>
      <c r="B118" s="2">
        <v>20170703031135</v>
      </c>
      <c r="C118" s="2">
        <v>19</v>
      </c>
      <c r="D118" s="2" t="s">
        <v>69</v>
      </c>
      <c r="E118" s="2">
        <v>24</v>
      </c>
      <c r="F118" s="2" t="s">
        <v>77</v>
      </c>
      <c r="G118" s="59"/>
      <c r="I118" s="2">
        <f t="shared" si="1"/>
        <v>18</v>
      </c>
    </row>
    <row r="119" spans="1:9" x14ac:dyDescent="0.35">
      <c r="A119" s="2">
        <v>117</v>
      </c>
      <c r="B119" s="2">
        <v>20170703032055</v>
      </c>
      <c r="C119" s="2">
        <v>3</v>
      </c>
      <c r="D119" s="2" t="s">
        <v>25</v>
      </c>
      <c r="E119" s="2" t="e">
        <v>#N/A</v>
      </c>
      <c r="F119" s="2" t="s">
        <v>373</v>
      </c>
      <c r="G119" s="59"/>
      <c r="I119" s="2">
        <f t="shared" si="1"/>
        <v>19</v>
      </c>
    </row>
    <row r="120" spans="1:9" x14ac:dyDescent="0.35">
      <c r="A120" s="2">
        <v>118</v>
      </c>
      <c r="B120" s="2">
        <v>20160703020068</v>
      </c>
      <c r="C120" s="2">
        <v>2</v>
      </c>
      <c r="D120" s="2" t="s">
        <v>22</v>
      </c>
      <c r="E120" s="2">
        <v>10</v>
      </c>
      <c r="F120" s="2" t="s">
        <v>45</v>
      </c>
      <c r="G120" s="59"/>
      <c r="I120" s="2">
        <f t="shared" si="1"/>
        <v>25</v>
      </c>
    </row>
    <row r="121" spans="1:9" x14ac:dyDescent="0.35">
      <c r="A121" s="2">
        <v>119</v>
      </c>
      <c r="B121" s="2">
        <v>20170703042117</v>
      </c>
      <c r="C121" s="2">
        <v>6</v>
      </c>
      <c r="D121" s="2" t="s">
        <v>34</v>
      </c>
      <c r="E121" s="2">
        <v>23</v>
      </c>
      <c r="F121" s="2" t="s">
        <v>75</v>
      </c>
      <c r="G121" s="59"/>
      <c r="I121" s="2">
        <f t="shared" si="1"/>
        <v>8</v>
      </c>
    </row>
    <row r="122" spans="1:9" x14ac:dyDescent="0.35">
      <c r="A122" s="2">
        <v>120</v>
      </c>
      <c r="B122" s="2">
        <v>20160703030160</v>
      </c>
      <c r="C122" s="2">
        <v>24</v>
      </c>
      <c r="D122" s="2" t="s">
        <v>77</v>
      </c>
      <c r="E122" s="2">
        <v>2</v>
      </c>
      <c r="F122" s="2" t="s">
        <v>22</v>
      </c>
      <c r="G122" s="59"/>
      <c r="I122" s="2">
        <f t="shared" si="1"/>
        <v>12</v>
      </c>
    </row>
    <row r="123" spans="1:9" x14ac:dyDescent="0.35">
      <c r="A123" s="2">
        <v>121</v>
      </c>
      <c r="B123" s="2">
        <v>20160703030005</v>
      </c>
      <c r="C123" s="2">
        <v>5</v>
      </c>
      <c r="D123" s="2" t="s">
        <v>31</v>
      </c>
      <c r="E123" s="2" t="e">
        <v>#N/A</v>
      </c>
      <c r="F123" s="2" t="s">
        <v>387</v>
      </c>
      <c r="G123" s="59"/>
      <c r="I123" s="2">
        <f t="shared" si="1"/>
        <v>18</v>
      </c>
    </row>
    <row r="124" spans="1:9" x14ac:dyDescent="0.35">
      <c r="A124" s="2">
        <v>122</v>
      </c>
      <c r="B124" s="2">
        <v>20170703021186</v>
      </c>
      <c r="C124" s="2" t="e">
        <v>#N/A</v>
      </c>
      <c r="D124" s="2" t="s">
        <v>241</v>
      </c>
      <c r="E124" s="2">
        <v>24</v>
      </c>
      <c r="F124" s="2" t="s">
        <v>77</v>
      </c>
      <c r="G124" s="59"/>
      <c r="I124" s="2">
        <f t="shared" si="1"/>
        <v>11</v>
      </c>
    </row>
    <row r="125" spans="1:9" x14ac:dyDescent="0.35">
      <c r="A125" s="2">
        <v>123</v>
      </c>
      <c r="B125" s="2">
        <v>18201503020068</v>
      </c>
      <c r="C125" s="2">
        <v>2</v>
      </c>
      <c r="D125" s="2" t="s">
        <v>22</v>
      </c>
      <c r="E125" s="2" t="e">
        <v>#N/A</v>
      </c>
      <c r="F125" s="2" t="s">
        <v>191</v>
      </c>
      <c r="G125" s="59"/>
      <c r="I125" s="2">
        <f t="shared" si="1"/>
        <v>25</v>
      </c>
    </row>
    <row r="126" spans="1:9" x14ac:dyDescent="0.35">
      <c r="A126" s="2">
        <v>124</v>
      </c>
      <c r="B126" s="2">
        <v>20160703020161</v>
      </c>
      <c r="C126" s="2" t="e">
        <v>#N/A</v>
      </c>
      <c r="D126" s="2" t="s">
        <v>202</v>
      </c>
      <c r="E126" s="2">
        <v>4</v>
      </c>
      <c r="F126" s="2" t="s">
        <v>28</v>
      </c>
      <c r="G126" s="59"/>
      <c r="I126" s="2">
        <f t="shared" si="1"/>
        <v>21</v>
      </c>
    </row>
    <row r="127" spans="1:9" x14ac:dyDescent="0.35">
      <c r="A127" s="2">
        <v>125</v>
      </c>
      <c r="B127" s="2">
        <v>20160703020082</v>
      </c>
      <c r="C127" s="2">
        <v>9</v>
      </c>
      <c r="D127" s="2" t="s">
        <v>42</v>
      </c>
      <c r="E127" s="2">
        <v>12</v>
      </c>
      <c r="F127" s="2" t="s">
        <v>50</v>
      </c>
      <c r="G127" s="59"/>
      <c r="I127" s="2">
        <f t="shared" si="1"/>
        <v>21</v>
      </c>
    </row>
    <row r="128" spans="1:9" x14ac:dyDescent="0.35">
      <c r="A128" s="2">
        <v>126</v>
      </c>
      <c r="B128" s="2">
        <v>20160703020096</v>
      </c>
      <c r="C128" s="2" t="e">
        <v>#N/A</v>
      </c>
      <c r="D128" s="2" t="s">
        <v>191</v>
      </c>
      <c r="E128" s="2">
        <v>4</v>
      </c>
      <c r="F128" s="2" t="s">
        <v>28</v>
      </c>
      <c r="G128" s="59"/>
      <c r="I128" s="2">
        <f t="shared" si="1"/>
        <v>13</v>
      </c>
    </row>
    <row r="129" spans="1:9" x14ac:dyDescent="0.35">
      <c r="A129" s="2">
        <v>127</v>
      </c>
      <c r="B129" s="2">
        <v>18201503020076</v>
      </c>
      <c r="C129" s="2">
        <v>2</v>
      </c>
      <c r="D129" s="2" t="s">
        <v>22</v>
      </c>
      <c r="E129" s="2">
        <v>24</v>
      </c>
      <c r="F129" s="2" t="s">
        <v>77</v>
      </c>
      <c r="G129" s="59"/>
      <c r="I129" s="2">
        <f t="shared" si="1"/>
        <v>25</v>
      </c>
    </row>
    <row r="130" spans="1:9" x14ac:dyDescent="0.35">
      <c r="A130" s="2">
        <v>128</v>
      </c>
      <c r="B130" s="2">
        <v>20160703030005</v>
      </c>
      <c r="C130" s="2">
        <v>5</v>
      </c>
      <c r="D130" s="2" t="s">
        <v>31</v>
      </c>
      <c r="E130" s="2" t="e">
        <v>#N/A</v>
      </c>
      <c r="F130" s="2" t="s">
        <v>387</v>
      </c>
      <c r="G130" s="59"/>
      <c r="I130" s="2">
        <f t="shared" si="1"/>
        <v>18</v>
      </c>
    </row>
    <row r="131" spans="1:9" x14ac:dyDescent="0.35">
      <c r="A131" s="2">
        <v>129</v>
      </c>
      <c r="B131" s="2">
        <v>18201402020019</v>
      </c>
      <c r="C131" s="2">
        <v>3</v>
      </c>
      <c r="D131" s="2" t="s">
        <v>25</v>
      </c>
      <c r="E131" s="2">
        <v>8</v>
      </c>
      <c r="F131" s="2" t="s">
        <v>39</v>
      </c>
      <c r="G131" s="59"/>
      <c r="I131" s="2">
        <f t="shared" ref="I131:I194" si="2">COUNTIF(D:H,D131)</f>
        <v>19</v>
      </c>
    </row>
    <row r="132" spans="1:9" x14ac:dyDescent="0.35">
      <c r="A132" s="2">
        <v>130</v>
      </c>
      <c r="B132" s="2">
        <v>20160703030092</v>
      </c>
      <c r="C132" s="2" t="e">
        <v>#N/A</v>
      </c>
      <c r="D132" s="2" t="s">
        <v>202</v>
      </c>
      <c r="E132" s="2">
        <v>13</v>
      </c>
      <c r="F132" s="2" t="s">
        <v>53</v>
      </c>
      <c r="G132" s="59"/>
      <c r="I132" s="2">
        <f t="shared" si="2"/>
        <v>21</v>
      </c>
    </row>
    <row r="133" spans="1:9" x14ac:dyDescent="0.35">
      <c r="A133" s="2">
        <v>131</v>
      </c>
      <c r="B133" s="2">
        <v>20170703021008</v>
      </c>
      <c r="C133" s="2">
        <v>24</v>
      </c>
      <c r="D133" s="2" t="s">
        <v>77</v>
      </c>
      <c r="E133" s="2">
        <v>4</v>
      </c>
      <c r="F133" s="2" t="s">
        <v>28</v>
      </c>
      <c r="G133" s="59"/>
      <c r="I133" s="2">
        <f t="shared" si="2"/>
        <v>12</v>
      </c>
    </row>
    <row r="134" spans="1:9" x14ac:dyDescent="0.35">
      <c r="A134" s="2">
        <v>132</v>
      </c>
      <c r="B134" s="2">
        <v>20170703021040</v>
      </c>
      <c r="C134" s="2">
        <v>9</v>
      </c>
      <c r="D134" s="2" t="s">
        <v>42</v>
      </c>
      <c r="E134" s="2">
        <v>2</v>
      </c>
      <c r="F134" s="2" t="s">
        <v>22</v>
      </c>
      <c r="G134" s="59"/>
      <c r="I134" s="2">
        <f t="shared" si="2"/>
        <v>21</v>
      </c>
    </row>
    <row r="135" spans="1:9" x14ac:dyDescent="0.35">
      <c r="A135" s="2">
        <v>133</v>
      </c>
      <c r="B135" s="2">
        <v>20170703022068</v>
      </c>
      <c r="C135" s="2" t="e">
        <v>#N/A</v>
      </c>
      <c r="D135" s="2" t="s">
        <v>443</v>
      </c>
      <c r="E135" s="2" t="e">
        <v>#N/A</v>
      </c>
      <c r="F135" s="2" t="s">
        <v>211</v>
      </c>
      <c r="G135" s="59"/>
      <c r="I135" s="2">
        <f t="shared" si="2"/>
        <v>3</v>
      </c>
    </row>
    <row r="136" spans="1:9" x14ac:dyDescent="0.35">
      <c r="A136" s="2">
        <v>134</v>
      </c>
      <c r="B136" s="2">
        <v>20170703022117</v>
      </c>
      <c r="C136" s="2">
        <v>13</v>
      </c>
      <c r="D136" s="2" t="s">
        <v>53</v>
      </c>
      <c r="E136" s="2" t="e">
        <v>#N/A</v>
      </c>
      <c r="F136" s="2" t="s">
        <v>226</v>
      </c>
      <c r="G136" s="59"/>
      <c r="I136" s="2">
        <f t="shared" si="2"/>
        <v>27</v>
      </c>
    </row>
    <row r="137" spans="1:9" x14ac:dyDescent="0.35">
      <c r="A137" s="2">
        <v>135</v>
      </c>
      <c r="B137" s="2">
        <v>20170703022229</v>
      </c>
      <c r="C137" s="2" t="e">
        <v>#N/A</v>
      </c>
      <c r="D137" s="2" t="s">
        <v>201</v>
      </c>
      <c r="E137" s="2">
        <v>7</v>
      </c>
      <c r="F137" s="2" t="s">
        <v>177</v>
      </c>
      <c r="G137" s="59"/>
      <c r="I137" s="2">
        <f t="shared" si="2"/>
        <v>14</v>
      </c>
    </row>
    <row r="138" spans="1:9" x14ac:dyDescent="0.35">
      <c r="A138" s="2">
        <v>136</v>
      </c>
      <c r="B138" s="2">
        <v>20170703032086</v>
      </c>
      <c r="C138" s="2" t="e">
        <v>#N/A</v>
      </c>
      <c r="D138" s="2" t="s">
        <v>191</v>
      </c>
      <c r="E138" s="2" t="e">
        <v>#N/A</v>
      </c>
      <c r="F138" s="2" t="s">
        <v>387</v>
      </c>
      <c r="G138" s="59"/>
      <c r="I138" s="2">
        <f t="shared" si="2"/>
        <v>13</v>
      </c>
    </row>
    <row r="139" spans="1:9" x14ac:dyDescent="0.35">
      <c r="A139" s="2">
        <v>137</v>
      </c>
      <c r="B139" s="2">
        <v>20170703032193</v>
      </c>
      <c r="C139" s="2" t="e">
        <v>#N/A</v>
      </c>
      <c r="D139" s="2" t="s">
        <v>265</v>
      </c>
      <c r="E139" s="2" t="e">
        <v>#N/A</v>
      </c>
      <c r="F139" s="2" t="s">
        <v>373</v>
      </c>
      <c r="G139" s="59"/>
      <c r="I139" s="2">
        <f t="shared" si="2"/>
        <v>13</v>
      </c>
    </row>
    <row r="140" spans="1:9" x14ac:dyDescent="0.35">
      <c r="A140" s="2">
        <v>138</v>
      </c>
      <c r="B140" s="2">
        <v>20170703022076</v>
      </c>
      <c r="C140" s="2">
        <v>2</v>
      </c>
      <c r="D140" s="2" t="s">
        <v>22</v>
      </c>
      <c r="E140" s="2" t="e">
        <v>#N/A</v>
      </c>
      <c r="F140" s="2" t="s">
        <v>202</v>
      </c>
      <c r="G140" s="59"/>
      <c r="I140" s="2">
        <f t="shared" si="2"/>
        <v>25</v>
      </c>
    </row>
    <row r="141" spans="1:9" x14ac:dyDescent="0.35">
      <c r="A141" s="2">
        <v>139</v>
      </c>
      <c r="B141" s="2">
        <v>20170703032166</v>
      </c>
      <c r="C141" s="2">
        <v>25</v>
      </c>
      <c r="D141" s="2" t="s">
        <v>79</v>
      </c>
      <c r="E141" s="2">
        <v>5</v>
      </c>
      <c r="F141" s="2" t="s">
        <v>31</v>
      </c>
      <c r="G141" s="59"/>
      <c r="I141" s="2">
        <f t="shared" si="2"/>
        <v>7</v>
      </c>
    </row>
    <row r="142" spans="1:9" x14ac:dyDescent="0.35">
      <c r="A142" s="2">
        <v>140</v>
      </c>
      <c r="B142" s="2">
        <v>20170703022076</v>
      </c>
      <c r="C142" s="2">
        <v>2</v>
      </c>
      <c r="D142" s="2" t="s">
        <v>22</v>
      </c>
      <c r="E142" s="2" t="e">
        <v>#N/A</v>
      </c>
      <c r="F142" s="2" t="s">
        <v>202</v>
      </c>
      <c r="G142" s="59"/>
      <c r="I142" s="2">
        <f t="shared" si="2"/>
        <v>25</v>
      </c>
    </row>
    <row r="143" spans="1:9" x14ac:dyDescent="0.35">
      <c r="A143" s="2">
        <v>141</v>
      </c>
      <c r="B143" s="2">
        <v>20170703032043</v>
      </c>
      <c r="C143" s="2">
        <v>13</v>
      </c>
      <c r="D143" s="2" t="s">
        <v>53</v>
      </c>
      <c r="E143" s="2">
        <v>20</v>
      </c>
      <c r="F143" s="2" t="s">
        <v>71</v>
      </c>
      <c r="G143" s="59"/>
      <c r="I143" s="2">
        <f t="shared" si="2"/>
        <v>27</v>
      </c>
    </row>
    <row r="144" spans="1:9" x14ac:dyDescent="0.35">
      <c r="A144" s="2">
        <v>142</v>
      </c>
      <c r="B144" s="2">
        <v>18201503020207</v>
      </c>
      <c r="C144" s="2">
        <v>13</v>
      </c>
      <c r="D144" s="2" t="s">
        <v>53</v>
      </c>
      <c r="E144" s="2">
        <v>18</v>
      </c>
      <c r="F144" s="2" t="s">
        <v>67</v>
      </c>
      <c r="G144" s="59"/>
      <c r="I144" s="2">
        <f t="shared" si="2"/>
        <v>27</v>
      </c>
    </row>
    <row r="145" spans="1:9" x14ac:dyDescent="0.35">
      <c r="A145" s="2">
        <v>143</v>
      </c>
      <c r="B145" s="2">
        <v>20170703032061</v>
      </c>
      <c r="C145" s="2">
        <v>23</v>
      </c>
      <c r="D145" s="2" t="s">
        <v>75</v>
      </c>
      <c r="E145" s="2">
        <v>5</v>
      </c>
      <c r="F145" s="2" t="s">
        <v>31</v>
      </c>
      <c r="G145" s="59"/>
      <c r="I145" s="2">
        <f t="shared" si="2"/>
        <v>8</v>
      </c>
    </row>
    <row r="146" spans="1:9" x14ac:dyDescent="0.35">
      <c r="A146" s="2">
        <v>144</v>
      </c>
      <c r="B146" s="2">
        <v>20170703022180</v>
      </c>
      <c r="C146" s="2">
        <v>15</v>
      </c>
      <c r="D146" s="2" t="s">
        <v>59</v>
      </c>
      <c r="E146" s="2">
        <v>12</v>
      </c>
      <c r="F146" s="2" t="s">
        <v>50</v>
      </c>
      <c r="G146" s="59"/>
      <c r="I146" s="2">
        <f t="shared" si="2"/>
        <v>23</v>
      </c>
    </row>
    <row r="147" spans="1:9" x14ac:dyDescent="0.35">
      <c r="A147" s="2">
        <v>145</v>
      </c>
      <c r="B147" s="2">
        <v>20170703032171</v>
      </c>
      <c r="C147" s="2">
        <v>13</v>
      </c>
      <c r="D147" s="2" t="s">
        <v>53</v>
      </c>
      <c r="E147" s="2" t="e">
        <v>#N/A</v>
      </c>
      <c r="F147" s="2" t="s">
        <v>202</v>
      </c>
      <c r="G147" s="59"/>
      <c r="I147" s="2">
        <f t="shared" si="2"/>
        <v>27</v>
      </c>
    </row>
    <row r="148" spans="1:9" x14ac:dyDescent="0.35">
      <c r="A148" s="2">
        <v>146</v>
      </c>
      <c r="B148" s="2">
        <v>18201503020079</v>
      </c>
      <c r="C148" s="2" t="e">
        <v>#N/A</v>
      </c>
      <c r="D148" s="2" t="s">
        <v>191</v>
      </c>
      <c r="E148" s="2" t="e">
        <v>#N/A</v>
      </c>
      <c r="F148" s="2" t="s">
        <v>211</v>
      </c>
      <c r="G148" s="59"/>
      <c r="I148" s="2">
        <f t="shared" si="2"/>
        <v>13</v>
      </c>
    </row>
    <row r="149" spans="1:9" x14ac:dyDescent="0.35">
      <c r="A149" s="2">
        <v>147</v>
      </c>
      <c r="B149" s="2">
        <v>20170703022235</v>
      </c>
      <c r="C149" s="2">
        <v>16</v>
      </c>
      <c r="D149" s="2" t="s">
        <v>62</v>
      </c>
      <c r="E149" s="2">
        <v>7</v>
      </c>
      <c r="F149" s="2" t="s">
        <v>177</v>
      </c>
      <c r="G149" s="59"/>
      <c r="I149" s="2">
        <f t="shared" si="2"/>
        <v>23</v>
      </c>
    </row>
    <row r="150" spans="1:9" x14ac:dyDescent="0.35">
      <c r="A150" s="2">
        <v>148</v>
      </c>
      <c r="B150" s="2">
        <v>20170703032101</v>
      </c>
      <c r="C150" s="2">
        <v>13</v>
      </c>
      <c r="D150" s="2" t="s">
        <v>53</v>
      </c>
      <c r="E150" s="2" t="e">
        <v>#N/A</v>
      </c>
      <c r="F150" s="2" t="s">
        <v>387</v>
      </c>
      <c r="G150" s="59"/>
      <c r="I150" s="2">
        <f t="shared" si="2"/>
        <v>27</v>
      </c>
    </row>
    <row r="151" spans="1:9" x14ac:dyDescent="0.35">
      <c r="A151" s="2">
        <v>149</v>
      </c>
      <c r="B151" s="2">
        <v>20170703022109</v>
      </c>
      <c r="C151" s="2" t="e">
        <v>#N/A</v>
      </c>
      <c r="D151" s="2" t="s">
        <v>201</v>
      </c>
      <c r="E151" s="2" t="e">
        <v>#N/A</v>
      </c>
      <c r="F151" s="2" t="s">
        <v>248</v>
      </c>
      <c r="G151" s="59"/>
      <c r="I151" s="2">
        <f t="shared" si="2"/>
        <v>14</v>
      </c>
    </row>
    <row r="152" spans="1:9" x14ac:dyDescent="0.35">
      <c r="A152" s="2">
        <v>150</v>
      </c>
      <c r="B152" s="2">
        <v>20170703032177</v>
      </c>
      <c r="C152" s="2" t="e">
        <v>#N/A</v>
      </c>
      <c r="D152" s="2" t="s">
        <v>265</v>
      </c>
      <c r="E152" s="2">
        <v>7</v>
      </c>
      <c r="F152" s="2" t="s">
        <v>177</v>
      </c>
      <c r="G152" s="59"/>
      <c r="I152" s="2">
        <f t="shared" si="2"/>
        <v>13</v>
      </c>
    </row>
    <row r="153" spans="1:9" x14ac:dyDescent="0.35">
      <c r="A153" s="2">
        <v>151</v>
      </c>
      <c r="B153" s="2">
        <v>20170703032106</v>
      </c>
      <c r="C153" s="2">
        <v>5</v>
      </c>
      <c r="D153" s="2" t="s">
        <v>31</v>
      </c>
      <c r="E153" s="2">
        <v>10</v>
      </c>
      <c r="F153" s="2" t="s">
        <v>45</v>
      </c>
      <c r="G153" s="59"/>
      <c r="I153" s="2">
        <f t="shared" si="2"/>
        <v>18</v>
      </c>
    </row>
    <row r="154" spans="1:9" x14ac:dyDescent="0.35">
      <c r="A154" s="2">
        <v>152</v>
      </c>
      <c r="B154" s="2">
        <v>20170703021213</v>
      </c>
      <c r="C154" s="2">
        <v>3</v>
      </c>
      <c r="D154" s="2" t="s">
        <v>25</v>
      </c>
      <c r="E154" s="2" t="e">
        <v>#N/A</v>
      </c>
      <c r="F154" s="2" t="s">
        <v>443</v>
      </c>
      <c r="G154" s="59"/>
      <c r="I154" s="2">
        <f t="shared" si="2"/>
        <v>19</v>
      </c>
    </row>
    <row r="155" spans="1:9" x14ac:dyDescent="0.35">
      <c r="A155" s="2">
        <v>153</v>
      </c>
      <c r="B155" s="2">
        <v>20170703032108</v>
      </c>
      <c r="C155" s="2">
        <v>13</v>
      </c>
      <c r="D155" s="2" t="s">
        <v>53</v>
      </c>
      <c r="E155" s="2" t="e">
        <v>#N/A</v>
      </c>
      <c r="F155" s="2" t="s">
        <v>191</v>
      </c>
      <c r="G155" s="59"/>
      <c r="I155" s="2">
        <f t="shared" si="2"/>
        <v>27</v>
      </c>
    </row>
    <row r="156" spans="1:9" x14ac:dyDescent="0.35">
      <c r="A156" s="2">
        <v>154</v>
      </c>
      <c r="B156" s="2">
        <v>20170703032166</v>
      </c>
      <c r="C156" s="2">
        <v>25</v>
      </c>
      <c r="D156" s="2" t="s">
        <v>79</v>
      </c>
      <c r="E156" s="2">
        <v>5</v>
      </c>
      <c r="F156" s="2" t="s">
        <v>31</v>
      </c>
      <c r="G156" s="59"/>
      <c r="I156" s="2">
        <f t="shared" si="2"/>
        <v>7</v>
      </c>
    </row>
    <row r="157" spans="1:9" x14ac:dyDescent="0.35">
      <c r="A157" s="2">
        <v>155</v>
      </c>
      <c r="B157" s="2">
        <v>20170703022036</v>
      </c>
      <c r="C157" s="2">
        <v>13</v>
      </c>
      <c r="D157" s="2" t="s">
        <v>53</v>
      </c>
      <c r="E157" s="2" t="e">
        <v>#N/A</v>
      </c>
      <c r="F157" s="2" t="s">
        <v>373</v>
      </c>
      <c r="G157" s="59"/>
      <c r="I157" s="2">
        <f t="shared" si="2"/>
        <v>27</v>
      </c>
    </row>
    <row r="158" spans="1:9" x14ac:dyDescent="0.35">
      <c r="A158" s="2">
        <v>156</v>
      </c>
      <c r="B158" s="2">
        <v>20170703031007</v>
      </c>
      <c r="C158" s="2" t="e">
        <v>#N/A</v>
      </c>
      <c r="D158" s="2" t="s">
        <v>191</v>
      </c>
      <c r="E158" s="2">
        <v>9</v>
      </c>
      <c r="F158" s="2" t="s">
        <v>42</v>
      </c>
      <c r="G158" s="59"/>
      <c r="I158" s="2">
        <f t="shared" si="2"/>
        <v>13</v>
      </c>
    </row>
    <row r="159" spans="1:9" x14ac:dyDescent="0.35">
      <c r="A159" s="2">
        <v>157</v>
      </c>
      <c r="B159" s="2">
        <v>20170703021028</v>
      </c>
      <c r="C159" s="2" t="e">
        <v>#N/A</v>
      </c>
      <c r="D159" s="2" t="s">
        <v>202</v>
      </c>
      <c r="E159" s="2">
        <v>5</v>
      </c>
      <c r="F159" s="2" t="s">
        <v>31</v>
      </c>
      <c r="G159" s="59"/>
      <c r="I159" s="2">
        <f t="shared" si="2"/>
        <v>21</v>
      </c>
    </row>
    <row r="160" spans="1:9" x14ac:dyDescent="0.35">
      <c r="A160" s="2">
        <v>158</v>
      </c>
      <c r="B160" s="2">
        <v>20160703020077</v>
      </c>
      <c r="C160" s="2">
        <v>9</v>
      </c>
      <c r="D160" s="2" t="s">
        <v>42</v>
      </c>
      <c r="E160" s="2" t="e">
        <v>#N/A</v>
      </c>
      <c r="F160" s="2" t="s">
        <v>211</v>
      </c>
      <c r="G160" s="59"/>
      <c r="I160" s="2">
        <f t="shared" si="2"/>
        <v>21</v>
      </c>
    </row>
    <row r="161" spans="1:9" x14ac:dyDescent="0.35">
      <c r="A161" s="2">
        <v>159</v>
      </c>
      <c r="B161" s="2">
        <v>20170703022038</v>
      </c>
      <c r="C161" s="2" t="e">
        <v>#N/A</v>
      </c>
      <c r="D161" s="2" t="s">
        <v>307</v>
      </c>
      <c r="E161" s="2">
        <v>4</v>
      </c>
      <c r="F161" s="2" t="s">
        <v>28</v>
      </c>
      <c r="G161" s="59"/>
      <c r="I161" s="2">
        <f t="shared" si="2"/>
        <v>9</v>
      </c>
    </row>
    <row r="162" spans="1:9" x14ac:dyDescent="0.35">
      <c r="A162" s="2">
        <v>160</v>
      </c>
      <c r="B162" s="2">
        <v>20170703021233</v>
      </c>
      <c r="C162" s="2" t="e">
        <v>#N/A</v>
      </c>
      <c r="D162" s="2" t="s">
        <v>241</v>
      </c>
      <c r="E162" s="2" t="e">
        <v>#N/A</v>
      </c>
      <c r="F162" s="2" t="s">
        <v>211</v>
      </c>
      <c r="G162" s="59"/>
      <c r="I162" s="2">
        <f t="shared" si="2"/>
        <v>11</v>
      </c>
    </row>
    <row r="163" spans="1:9" x14ac:dyDescent="0.35">
      <c r="A163" s="2">
        <v>161</v>
      </c>
      <c r="B163" s="2">
        <v>20170703042020</v>
      </c>
      <c r="C163" s="2">
        <v>13</v>
      </c>
      <c r="D163" s="2" t="s">
        <v>53</v>
      </c>
      <c r="E163" s="2">
        <v>6</v>
      </c>
      <c r="F163" s="2" t="s">
        <v>34</v>
      </c>
      <c r="G163" s="59"/>
      <c r="I163" s="2">
        <f t="shared" si="2"/>
        <v>27</v>
      </c>
    </row>
    <row r="164" spans="1:9" x14ac:dyDescent="0.35">
      <c r="A164" s="2">
        <v>162</v>
      </c>
      <c r="B164" s="2">
        <v>20160703020145</v>
      </c>
      <c r="C164" s="2">
        <v>25</v>
      </c>
      <c r="D164" s="2" t="s">
        <v>79</v>
      </c>
      <c r="E164" s="2">
        <v>13</v>
      </c>
      <c r="F164" s="2" t="s">
        <v>53</v>
      </c>
      <c r="G164" s="59"/>
      <c r="I164" s="2">
        <f t="shared" si="2"/>
        <v>7</v>
      </c>
    </row>
    <row r="165" spans="1:9" x14ac:dyDescent="0.35">
      <c r="A165" s="2">
        <v>163</v>
      </c>
      <c r="B165" s="2">
        <v>20170703022232</v>
      </c>
      <c r="C165" s="2" t="e">
        <v>#N/A</v>
      </c>
      <c r="D165" s="2" t="s">
        <v>201</v>
      </c>
      <c r="E165" s="2" t="e">
        <v>#N/A</v>
      </c>
      <c r="F165" s="2" t="s">
        <v>307</v>
      </c>
      <c r="G165" s="59"/>
      <c r="I165" s="2">
        <f t="shared" si="2"/>
        <v>14</v>
      </c>
    </row>
    <row r="166" spans="1:9" x14ac:dyDescent="0.35">
      <c r="A166" s="2">
        <v>164</v>
      </c>
      <c r="B166" s="2">
        <v>20170703031157</v>
      </c>
      <c r="C166" s="2" t="e">
        <v>#N/A</v>
      </c>
      <c r="D166" s="2" t="s">
        <v>373</v>
      </c>
      <c r="E166" s="2">
        <v>16</v>
      </c>
      <c r="F166" s="2" t="s">
        <v>62</v>
      </c>
      <c r="G166" s="59"/>
      <c r="I166" s="2">
        <f t="shared" si="2"/>
        <v>7</v>
      </c>
    </row>
    <row r="167" spans="1:9" x14ac:dyDescent="0.35">
      <c r="A167" s="2">
        <v>165</v>
      </c>
      <c r="B167" s="2">
        <v>20170703032169</v>
      </c>
      <c r="C167" s="2" t="e">
        <v>#N/A</v>
      </c>
      <c r="D167" s="2" t="s">
        <v>307</v>
      </c>
      <c r="E167" s="2">
        <v>16</v>
      </c>
      <c r="F167" s="2" t="s">
        <v>62</v>
      </c>
      <c r="G167" s="59"/>
      <c r="I167" s="2">
        <f t="shared" si="2"/>
        <v>9</v>
      </c>
    </row>
    <row r="168" spans="1:9" x14ac:dyDescent="0.35">
      <c r="A168" s="2">
        <v>166</v>
      </c>
      <c r="B168" s="2">
        <v>18201503020018</v>
      </c>
      <c r="C168" s="2" t="e">
        <v>#N/A</v>
      </c>
      <c r="D168" s="2" t="s">
        <v>241</v>
      </c>
      <c r="E168" s="2">
        <v>3</v>
      </c>
      <c r="F168" s="2" t="s">
        <v>25</v>
      </c>
      <c r="G168" s="59"/>
      <c r="I168" s="2">
        <f t="shared" si="2"/>
        <v>11</v>
      </c>
    </row>
    <row r="169" spans="1:9" x14ac:dyDescent="0.35">
      <c r="A169" s="2">
        <v>167</v>
      </c>
      <c r="B169" s="2">
        <v>20170703042093</v>
      </c>
      <c r="C169" s="2" t="e">
        <v>#N/A</v>
      </c>
      <c r="D169" s="2" t="s">
        <v>241</v>
      </c>
      <c r="E169" s="2" t="e">
        <v>#N/A</v>
      </c>
      <c r="F169" s="2" t="s">
        <v>248</v>
      </c>
      <c r="G169" s="59"/>
      <c r="I169" s="2">
        <f t="shared" si="2"/>
        <v>11</v>
      </c>
    </row>
    <row r="170" spans="1:9" x14ac:dyDescent="0.35">
      <c r="A170" s="2">
        <v>168</v>
      </c>
      <c r="B170" s="2">
        <v>20170703022151</v>
      </c>
      <c r="C170" s="2" t="e">
        <v>#N/A</v>
      </c>
      <c r="D170" s="2" t="s">
        <v>214</v>
      </c>
      <c r="E170" s="2">
        <v>20</v>
      </c>
      <c r="F170" s="2" t="s">
        <v>71</v>
      </c>
      <c r="G170" s="59"/>
      <c r="I170" s="2">
        <f t="shared" si="2"/>
        <v>26</v>
      </c>
    </row>
    <row r="171" spans="1:9" x14ac:dyDescent="0.35">
      <c r="A171" s="2">
        <v>169</v>
      </c>
      <c r="B171" s="2">
        <v>20160703030156</v>
      </c>
      <c r="C171" s="2">
        <v>5</v>
      </c>
      <c r="D171" s="2" t="s">
        <v>31</v>
      </c>
      <c r="E171" s="2">
        <v>7</v>
      </c>
      <c r="F171" s="2" t="s">
        <v>177</v>
      </c>
      <c r="G171" s="59"/>
      <c r="I171" s="2">
        <f t="shared" si="2"/>
        <v>18</v>
      </c>
    </row>
    <row r="172" spans="1:9" x14ac:dyDescent="0.35">
      <c r="A172" s="2">
        <v>170</v>
      </c>
      <c r="B172" s="2">
        <v>20170703032050</v>
      </c>
      <c r="C172" s="2">
        <v>18</v>
      </c>
      <c r="D172" s="2" t="s">
        <v>67</v>
      </c>
      <c r="E172" s="2" t="e">
        <v>#N/A</v>
      </c>
      <c r="F172" s="2" t="s">
        <v>226</v>
      </c>
      <c r="G172" s="59"/>
      <c r="I172" s="2">
        <f t="shared" si="2"/>
        <v>17</v>
      </c>
    </row>
    <row r="173" spans="1:9" x14ac:dyDescent="0.35">
      <c r="A173" s="2">
        <v>171</v>
      </c>
      <c r="B173" s="2">
        <v>18201503020160</v>
      </c>
      <c r="C173" s="2">
        <v>1</v>
      </c>
      <c r="D173" s="2" t="s">
        <v>19</v>
      </c>
      <c r="E173" s="2">
        <v>12</v>
      </c>
      <c r="F173" s="2" t="s">
        <v>50</v>
      </c>
      <c r="G173" s="59"/>
      <c r="I173" s="2">
        <f t="shared" si="2"/>
        <v>12</v>
      </c>
    </row>
    <row r="174" spans="1:9" x14ac:dyDescent="0.35">
      <c r="A174" s="2">
        <v>172</v>
      </c>
      <c r="B174" s="2">
        <v>20170703022055</v>
      </c>
      <c r="C174" s="2">
        <v>20</v>
      </c>
      <c r="D174" s="2" t="s">
        <v>71</v>
      </c>
      <c r="E174" s="2">
        <v>19</v>
      </c>
      <c r="F174" s="2" t="s">
        <v>69</v>
      </c>
      <c r="G174" s="59"/>
      <c r="I174" s="2">
        <f t="shared" si="2"/>
        <v>16</v>
      </c>
    </row>
    <row r="175" spans="1:9" x14ac:dyDescent="0.35">
      <c r="A175" s="2">
        <v>173</v>
      </c>
      <c r="B175" s="2">
        <v>20170703022055</v>
      </c>
      <c r="C175" s="2">
        <v>20</v>
      </c>
      <c r="D175" s="2" t="s">
        <v>71</v>
      </c>
      <c r="E175" s="2">
        <v>19</v>
      </c>
      <c r="F175" s="2" t="s">
        <v>69</v>
      </c>
      <c r="G175" s="59"/>
      <c r="I175" s="2">
        <f t="shared" si="2"/>
        <v>16</v>
      </c>
    </row>
    <row r="176" spans="1:9" x14ac:dyDescent="0.35">
      <c r="A176" s="2">
        <v>174</v>
      </c>
      <c r="B176" s="2">
        <v>20160703020144</v>
      </c>
      <c r="C176" s="2">
        <v>16</v>
      </c>
      <c r="D176" s="2" t="s">
        <v>62</v>
      </c>
      <c r="E176" s="2" t="e">
        <v>#N/A</v>
      </c>
      <c r="F176" s="2" t="s">
        <v>387</v>
      </c>
      <c r="G176" s="59"/>
      <c r="I176" s="2">
        <f t="shared" si="2"/>
        <v>23</v>
      </c>
    </row>
    <row r="177" spans="1:9" x14ac:dyDescent="0.35">
      <c r="A177" s="2">
        <v>175</v>
      </c>
      <c r="B177" s="2">
        <v>20170703031085</v>
      </c>
      <c r="C177" s="2" t="e">
        <v>#N/A</v>
      </c>
      <c r="D177" s="2" t="s">
        <v>191</v>
      </c>
      <c r="E177" s="2">
        <v>1</v>
      </c>
      <c r="F177" s="2" t="s">
        <v>19</v>
      </c>
      <c r="G177" s="59"/>
      <c r="I177" s="2">
        <f t="shared" si="2"/>
        <v>13</v>
      </c>
    </row>
    <row r="178" spans="1:9" x14ac:dyDescent="0.35">
      <c r="A178" s="2">
        <v>176</v>
      </c>
      <c r="B178" s="2">
        <v>20170703032186</v>
      </c>
      <c r="C178" s="2" t="e">
        <v>#N/A</v>
      </c>
      <c r="D178" s="2" t="s">
        <v>525</v>
      </c>
      <c r="E178" s="2">
        <v>13</v>
      </c>
      <c r="F178" s="2" t="s">
        <v>53</v>
      </c>
      <c r="G178" s="59"/>
      <c r="I178" s="2">
        <f t="shared" si="2"/>
        <v>2</v>
      </c>
    </row>
    <row r="179" spans="1:9" x14ac:dyDescent="0.35">
      <c r="A179" s="2">
        <v>177</v>
      </c>
      <c r="B179" s="2">
        <v>20170703042061</v>
      </c>
      <c r="C179" s="2">
        <v>19</v>
      </c>
      <c r="D179" s="2" t="s">
        <v>69</v>
      </c>
      <c r="E179" s="2">
        <v>7</v>
      </c>
      <c r="F179" s="2" t="s">
        <v>177</v>
      </c>
      <c r="G179" s="59"/>
      <c r="I179" s="2">
        <f t="shared" si="2"/>
        <v>18</v>
      </c>
    </row>
    <row r="180" spans="1:9" x14ac:dyDescent="0.35">
      <c r="A180" s="2">
        <v>178</v>
      </c>
      <c r="B180" s="2">
        <v>20170703032170</v>
      </c>
      <c r="C180" s="2">
        <v>24</v>
      </c>
      <c r="D180" s="2" t="s">
        <v>77</v>
      </c>
      <c r="E180" s="2">
        <v>16</v>
      </c>
      <c r="F180" s="2" t="s">
        <v>62</v>
      </c>
      <c r="G180" s="59"/>
      <c r="I180" s="2">
        <f t="shared" si="2"/>
        <v>12</v>
      </c>
    </row>
    <row r="181" spans="1:9" x14ac:dyDescent="0.35">
      <c r="A181" s="2">
        <v>179</v>
      </c>
      <c r="B181" s="2">
        <v>20170703032036</v>
      </c>
      <c r="C181" s="2">
        <v>16</v>
      </c>
      <c r="D181" s="2" t="s">
        <v>62</v>
      </c>
      <c r="E181" s="2" t="e">
        <v>#N/A</v>
      </c>
      <c r="F181" s="2" t="s">
        <v>191</v>
      </c>
      <c r="G181" s="59"/>
      <c r="I181" s="2">
        <f t="shared" si="2"/>
        <v>23</v>
      </c>
    </row>
    <row r="182" spans="1:9" x14ac:dyDescent="0.35">
      <c r="A182" s="2">
        <v>180</v>
      </c>
      <c r="B182" s="2">
        <v>20170703032052</v>
      </c>
      <c r="C182" s="2">
        <v>18</v>
      </c>
      <c r="D182" s="2" t="s">
        <v>67</v>
      </c>
      <c r="E182" s="2">
        <v>10</v>
      </c>
      <c r="F182" s="2" t="s">
        <v>45</v>
      </c>
      <c r="G182" s="59"/>
      <c r="I182" s="2">
        <f t="shared" si="2"/>
        <v>17</v>
      </c>
    </row>
    <row r="183" spans="1:9" x14ac:dyDescent="0.35">
      <c r="A183" s="2">
        <v>181</v>
      </c>
      <c r="B183" s="2">
        <v>20170703031085</v>
      </c>
      <c r="C183" s="2" t="e">
        <v>#N/A</v>
      </c>
      <c r="D183" s="2" t="s">
        <v>191</v>
      </c>
      <c r="E183" s="2">
        <v>1</v>
      </c>
      <c r="F183" s="2" t="s">
        <v>19</v>
      </c>
      <c r="G183" s="59"/>
      <c r="I183" s="2">
        <f t="shared" si="2"/>
        <v>13</v>
      </c>
    </row>
    <row r="184" spans="1:9" x14ac:dyDescent="0.35">
      <c r="A184" s="2">
        <v>182</v>
      </c>
      <c r="B184" s="2">
        <v>20170703032178</v>
      </c>
      <c r="C184" s="2" t="e">
        <v>#N/A</v>
      </c>
      <c r="D184" s="2" t="s">
        <v>354</v>
      </c>
      <c r="E184" s="2">
        <v>16</v>
      </c>
      <c r="F184" s="2" t="s">
        <v>62</v>
      </c>
      <c r="G184" s="59"/>
      <c r="I184" s="2">
        <f t="shared" si="2"/>
        <v>3</v>
      </c>
    </row>
    <row r="185" spans="1:9" x14ac:dyDescent="0.35">
      <c r="A185" s="2">
        <v>183</v>
      </c>
      <c r="B185" s="2">
        <v>20170703032029</v>
      </c>
      <c r="C185" s="2" t="e">
        <v>#N/A</v>
      </c>
      <c r="D185" s="2" t="s">
        <v>202</v>
      </c>
      <c r="E185" s="2">
        <v>15</v>
      </c>
      <c r="F185" s="2" t="s">
        <v>59</v>
      </c>
      <c r="G185" s="59"/>
      <c r="I185" s="2">
        <f t="shared" si="2"/>
        <v>21</v>
      </c>
    </row>
    <row r="186" spans="1:9" x14ac:dyDescent="0.35">
      <c r="A186" s="2">
        <v>184</v>
      </c>
      <c r="B186" s="2">
        <v>20170703042079</v>
      </c>
      <c r="C186" s="2">
        <v>6</v>
      </c>
      <c r="D186" s="2" t="s">
        <v>34</v>
      </c>
      <c r="E186" s="2">
        <v>7</v>
      </c>
      <c r="F186" s="2" t="s">
        <v>177</v>
      </c>
      <c r="G186" s="59"/>
      <c r="I186" s="2">
        <f t="shared" si="2"/>
        <v>8</v>
      </c>
    </row>
    <row r="187" spans="1:9" x14ac:dyDescent="0.35">
      <c r="A187" s="2">
        <v>185</v>
      </c>
      <c r="B187" s="2">
        <v>20170703042116</v>
      </c>
      <c r="C187" s="2">
        <v>23</v>
      </c>
      <c r="D187" s="2" t="s">
        <v>75</v>
      </c>
      <c r="E187" s="2">
        <v>2</v>
      </c>
      <c r="F187" s="2" t="s">
        <v>22</v>
      </c>
      <c r="G187" s="59"/>
      <c r="I187" s="2">
        <f t="shared" si="2"/>
        <v>8</v>
      </c>
    </row>
    <row r="188" spans="1:9" x14ac:dyDescent="0.35">
      <c r="A188" s="2">
        <v>186</v>
      </c>
      <c r="B188" s="2">
        <v>20170703032056</v>
      </c>
      <c r="C188" s="2" t="e">
        <v>#N/A</v>
      </c>
      <c r="D188" s="2" t="s">
        <v>248</v>
      </c>
      <c r="E188" s="2">
        <v>3</v>
      </c>
      <c r="F188" s="2" t="s">
        <v>25</v>
      </c>
      <c r="G188" s="59"/>
      <c r="I188" s="2">
        <f t="shared" si="2"/>
        <v>13</v>
      </c>
    </row>
    <row r="189" spans="1:9" x14ac:dyDescent="0.35">
      <c r="A189" s="2">
        <v>187</v>
      </c>
      <c r="B189" s="2">
        <v>20170703022049</v>
      </c>
      <c r="C189" s="2" t="e">
        <v>#N/A</v>
      </c>
      <c r="D189" s="2" t="s">
        <v>307</v>
      </c>
      <c r="E189" s="2">
        <v>16</v>
      </c>
      <c r="F189" s="2" t="s">
        <v>62</v>
      </c>
      <c r="G189" s="59"/>
      <c r="I189" s="2">
        <f t="shared" si="2"/>
        <v>9</v>
      </c>
    </row>
    <row r="190" spans="1:9" x14ac:dyDescent="0.35">
      <c r="A190" s="2">
        <v>188</v>
      </c>
      <c r="B190" s="2">
        <v>20170703032053</v>
      </c>
      <c r="C190" s="2">
        <v>3</v>
      </c>
      <c r="D190" s="2" t="s">
        <v>25</v>
      </c>
      <c r="E190" s="2">
        <v>10</v>
      </c>
      <c r="F190" s="2" t="s">
        <v>45</v>
      </c>
      <c r="G190" s="59"/>
      <c r="I190" s="2">
        <f t="shared" si="2"/>
        <v>19</v>
      </c>
    </row>
    <row r="191" spans="1:9" x14ac:dyDescent="0.35">
      <c r="A191" s="2">
        <v>189</v>
      </c>
      <c r="B191" s="2">
        <v>20170703031131</v>
      </c>
      <c r="C191" s="2">
        <v>25</v>
      </c>
      <c r="D191" s="2" t="s">
        <v>79</v>
      </c>
      <c r="E191" s="2">
        <v>19</v>
      </c>
      <c r="F191" s="2" t="s">
        <v>69</v>
      </c>
      <c r="G191" s="59"/>
      <c r="I191" s="2">
        <f t="shared" si="2"/>
        <v>7</v>
      </c>
    </row>
    <row r="192" spans="1:9" x14ac:dyDescent="0.35">
      <c r="A192" s="2">
        <v>190</v>
      </c>
      <c r="B192" s="2">
        <v>20170703031008</v>
      </c>
      <c r="C192" s="2">
        <v>18</v>
      </c>
      <c r="D192" s="2" t="s">
        <v>67</v>
      </c>
      <c r="E192" s="2">
        <v>15</v>
      </c>
      <c r="F192" s="2" t="s">
        <v>59</v>
      </c>
      <c r="G192" s="59"/>
      <c r="I192" s="2">
        <f t="shared" si="2"/>
        <v>17</v>
      </c>
    </row>
    <row r="193" spans="1:9" x14ac:dyDescent="0.35">
      <c r="A193" s="2">
        <v>191</v>
      </c>
      <c r="B193" s="2">
        <v>20170703031010</v>
      </c>
      <c r="C193" s="2">
        <v>15</v>
      </c>
      <c r="D193" s="2" t="s">
        <v>59</v>
      </c>
      <c r="E193" s="2">
        <v>8</v>
      </c>
      <c r="F193" s="2" t="s">
        <v>39</v>
      </c>
      <c r="G193" s="59"/>
      <c r="I193" s="2">
        <f t="shared" si="2"/>
        <v>23</v>
      </c>
    </row>
    <row r="194" spans="1:9" x14ac:dyDescent="0.35">
      <c r="A194" s="2">
        <v>192</v>
      </c>
      <c r="B194" s="2">
        <v>20170703022191</v>
      </c>
      <c r="C194" s="2">
        <v>16</v>
      </c>
      <c r="D194" s="2" t="s">
        <v>62</v>
      </c>
      <c r="E194" s="2">
        <v>1</v>
      </c>
      <c r="F194" s="2" t="s">
        <v>19</v>
      </c>
      <c r="G194" s="59"/>
      <c r="I194" s="2">
        <f t="shared" si="2"/>
        <v>23</v>
      </c>
    </row>
    <row r="195" spans="1:9" x14ac:dyDescent="0.35">
      <c r="A195" s="2">
        <v>193</v>
      </c>
      <c r="B195" s="2">
        <v>20160703030153</v>
      </c>
      <c r="C195" s="2">
        <v>1</v>
      </c>
      <c r="D195" s="2" t="s">
        <v>19</v>
      </c>
      <c r="E195" s="2">
        <v>13</v>
      </c>
      <c r="F195" s="2" t="s">
        <v>53</v>
      </c>
      <c r="G195" s="59"/>
      <c r="I195" s="2">
        <f t="shared" ref="I195:I258" si="3">COUNTIF(D:H,D195)</f>
        <v>12</v>
      </c>
    </row>
    <row r="196" spans="1:9" x14ac:dyDescent="0.35">
      <c r="A196" s="2">
        <v>194</v>
      </c>
      <c r="B196" s="2">
        <v>20170703021018</v>
      </c>
      <c r="C196" s="2" t="e">
        <v>#N/A</v>
      </c>
      <c r="D196" s="2" t="s">
        <v>560</v>
      </c>
      <c r="E196" s="2" t="e">
        <v>#N/A</v>
      </c>
      <c r="F196" s="2" t="s">
        <v>248</v>
      </c>
      <c r="G196" s="59"/>
      <c r="I196" s="2">
        <f t="shared" si="3"/>
        <v>1</v>
      </c>
    </row>
    <row r="197" spans="1:9" x14ac:dyDescent="0.35">
      <c r="A197" s="2">
        <v>195</v>
      </c>
      <c r="B197" s="2">
        <v>20160703020132</v>
      </c>
      <c r="C197" s="2" t="e">
        <v>#N/A</v>
      </c>
      <c r="D197" s="2" t="s">
        <v>214</v>
      </c>
      <c r="E197" s="2">
        <v>20</v>
      </c>
      <c r="F197" s="2" t="s">
        <v>71</v>
      </c>
      <c r="G197" s="59"/>
      <c r="I197" s="2">
        <f t="shared" si="3"/>
        <v>26</v>
      </c>
    </row>
    <row r="198" spans="1:9" x14ac:dyDescent="0.35">
      <c r="A198" s="2">
        <v>196</v>
      </c>
      <c r="B198" s="2">
        <v>20170703042022</v>
      </c>
      <c r="C198" s="2">
        <v>15</v>
      </c>
      <c r="D198" s="2" t="s">
        <v>59</v>
      </c>
      <c r="E198" s="2">
        <v>6</v>
      </c>
      <c r="F198" s="2" t="s">
        <v>34</v>
      </c>
      <c r="G198" s="59"/>
      <c r="I198" s="2">
        <f t="shared" si="3"/>
        <v>23</v>
      </c>
    </row>
    <row r="199" spans="1:9" x14ac:dyDescent="0.35">
      <c r="A199" s="2">
        <v>197</v>
      </c>
      <c r="B199" s="2">
        <v>20170703041033</v>
      </c>
      <c r="C199" s="2" t="e">
        <v>#N/A</v>
      </c>
      <c r="D199" s="2" t="s">
        <v>567</v>
      </c>
      <c r="E199" s="2">
        <v>18</v>
      </c>
      <c r="F199" s="2" t="s">
        <v>67</v>
      </c>
      <c r="G199" s="59"/>
      <c r="I199" s="2">
        <f t="shared" si="3"/>
        <v>11</v>
      </c>
    </row>
    <row r="200" spans="1:9" x14ac:dyDescent="0.35">
      <c r="A200" s="2">
        <v>198</v>
      </c>
      <c r="B200" s="2">
        <v>20170703042119</v>
      </c>
      <c r="C200" s="2">
        <v>1</v>
      </c>
      <c r="D200" s="2" t="s">
        <v>19</v>
      </c>
      <c r="E200" s="2" t="e">
        <v>#N/A</v>
      </c>
      <c r="F200" s="2" t="s">
        <v>354</v>
      </c>
      <c r="G200" s="59"/>
      <c r="I200" s="2">
        <f t="shared" si="3"/>
        <v>12</v>
      </c>
    </row>
    <row r="201" spans="1:9" x14ac:dyDescent="0.35">
      <c r="A201" s="2">
        <v>199</v>
      </c>
      <c r="B201" s="2">
        <v>20170703032081</v>
      </c>
      <c r="C201" s="2">
        <v>23</v>
      </c>
      <c r="D201" s="2" t="s">
        <v>75</v>
      </c>
      <c r="E201" s="2">
        <v>15</v>
      </c>
      <c r="F201" s="2" t="s">
        <v>59</v>
      </c>
      <c r="G201" s="59"/>
      <c r="I201" s="2">
        <f t="shared" si="3"/>
        <v>8</v>
      </c>
    </row>
    <row r="202" spans="1:9" x14ac:dyDescent="0.35">
      <c r="A202" s="2">
        <v>200</v>
      </c>
      <c r="B202" s="2">
        <v>20170703042026</v>
      </c>
      <c r="C202" s="2" t="e">
        <v>#N/A</v>
      </c>
      <c r="D202" s="2" t="s">
        <v>567</v>
      </c>
      <c r="E202" s="2">
        <v>6</v>
      </c>
      <c r="F202" s="2" t="s">
        <v>34</v>
      </c>
      <c r="G202" s="59"/>
      <c r="I202" s="2">
        <f t="shared" si="3"/>
        <v>11</v>
      </c>
    </row>
    <row r="203" spans="1:9" x14ac:dyDescent="0.35">
      <c r="A203" s="2">
        <v>201</v>
      </c>
      <c r="B203" s="2">
        <v>20170703032176</v>
      </c>
      <c r="C203" s="2">
        <v>25</v>
      </c>
      <c r="D203" s="2" t="s">
        <v>79</v>
      </c>
      <c r="E203" s="2">
        <v>5</v>
      </c>
      <c r="F203" s="2" t="s">
        <v>31</v>
      </c>
      <c r="G203" s="59"/>
      <c r="I203" s="2">
        <f t="shared" si="3"/>
        <v>7</v>
      </c>
    </row>
    <row r="204" spans="1:9" x14ac:dyDescent="0.35">
      <c r="A204" s="2">
        <v>202</v>
      </c>
      <c r="B204" s="2">
        <v>20170703032176</v>
      </c>
      <c r="C204" s="2">
        <v>25</v>
      </c>
      <c r="D204" s="2" t="s">
        <v>79</v>
      </c>
      <c r="E204" s="2">
        <v>5</v>
      </c>
      <c r="F204" s="2" t="s">
        <v>31</v>
      </c>
      <c r="G204" s="59"/>
      <c r="I204" s="2">
        <f t="shared" si="3"/>
        <v>7</v>
      </c>
    </row>
    <row r="205" spans="1:9" x14ac:dyDescent="0.35">
      <c r="A205" s="2">
        <v>203</v>
      </c>
      <c r="B205" s="2">
        <v>20160703030182</v>
      </c>
      <c r="C205" s="2" t="e">
        <v>#N/A</v>
      </c>
      <c r="D205" s="2" t="s">
        <v>202</v>
      </c>
      <c r="E205" s="2">
        <v>19</v>
      </c>
      <c r="F205" s="2" t="s">
        <v>69</v>
      </c>
      <c r="G205" s="59"/>
      <c r="I205" s="2">
        <f t="shared" si="3"/>
        <v>21</v>
      </c>
    </row>
    <row r="206" spans="1:9" x14ac:dyDescent="0.35">
      <c r="A206" s="2">
        <v>204</v>
      </c>
      <c r="B206" s="2">
        <v>20170703022049</v>
      </c>
      <c r="C206" s="2" t="e">
        <v>#N/A</v>
      </c>
      <c r="D206" s="2" t="s">
        <v>307</v>
      </c>
      <c r="E206" s="2">
        <v>16</v>
      </c>
      <c r="F206" s="2" t="s">
        <v>62</v>
      </c>
      <c r="G206" s="59"/>
      <c r="I206" s="2">
        <f t="shared" si="3"/>
        <v>9</v>
      </c>
    </row>
    <row r="207" spans="1:9" x14ac:dyDescent="0.35">
      <c r="A207" s="2">
        <v>205</v>
      </c>
      <c r="B207" s="2">
        <v>20170703022072</v>
      </c>
      <c r="C207" s="2">
        <v>18</v>
      </c>
      <c r="D207" s="2" t="s">
        <v>67</v>
      </c>
      <c r="E207" s="2" t="e">
        <v>#N/A</v>
      </c>
      <c r="F207" s="2" t="s">
        <v>307</v>
      </c>
      <c r="G207" s="59"/>
      <c r="I207" s="2">
        <f t="shared" si="3"/>
        <v>17</v>
      </c>
    </row>
    <row r="208" spans="1:9" x14ac:dyDescent="0.35">
      <c r="A208" s="2">
        <v>206</v>
      </c>
      <c r="B208" s="2">
        <v>20170703041064</v>
      </c>
      <c r="C208" s="2">
        <v>3</v>
      </c>
      <c r="D208" s="2" t="s">
        <v>25</v>
      </c>
      <c r="E208" s="2">
        <v>18</v>
      </c>
      <c r="F208" s="2" t="s">
        <v>67</v>
      </c>
      <c r="G208" s="59"/>
      <c r="I208" s="2">
        <f t="shared" si="3"/>
        <v>19</v>
      </c>
    </row>
    <row r="209" spans="1:9" x14ac:dyDescent="0.35">
      <c r="A209" s="2">
        <v>207</v>
      </c>
      <c r="B209" s="2">
        <v>20170703022120</v>
      </c>
      <c r="C209" s="2" t="e">
        <v>#N/A</v>
      </c>
      <c r="D209" s="2" t="s">
        <v>214</v>
      </c>
      <c r="E209" s="2">
        <v>23</v>
      </c>
      <c r="F209" s="2" t="s">
        <v>75</v>
      </c>
      <c r="G209" s="59"/>
      <c r="I209" s="2">
        <f t="shared" si="3"/>
        <v>26</v>
      </c>
    </row>
    <row r="210" spans="1:9" x14ac:dyDescent="0.35">
      <c r="A210" s="2">
        <v>208</v>
      </c>
      <c r="B210" s="2">
        <v>20170703022158</v>
      </c>
      <c r="C210" s="2" t="e">
        <v>#N/A</v>
      </c>
      <c r="D210" s="2" t="s">
        <v>214</v>
      </c>
      <c r="E210" s="2">
        <v>20</v>
      </c>
      <c r="F210" s="2" t="s">
        <v>71</v>
      </c>
      <c r="G210" s="59"/>
      <c r="I210" s="2">
        <f t="shared" si="3"/>
        <v>26</v>
      </c>
    </row>
    <row r="211" spans="1:9" x14ac:dyDescent="0.35">
      <c r="A211" s="2">
        <v>209</v>
      </c>
      <c r="B211" s="2">
        <v>20170703042097</v>
      </c>
      <c r="C211" s="2">
        <v>16</v>
      </c>
      <c r="D211" s="2" t="s">
        <v>62</v>
      </c>
      <c r="E211" s="2">
        <v>13</v>
      </c>
      <c r="F211" s="2" t="s">
        <v>53</v>
      </c>
      <c r="G211" s="59"/>
      <c r="I211" s="2">
        <f t="shared" si="3"/>
        <v>23</v>
      </c>
    </row>
    <row r="212" spans="1:9" x14ac:dyDescent="0.35">
      <c r="A212" s="2">
        <v>210</v>
      </c>
      <c r="B212" s="2">
        <v>20170703022072</v>
      </c>
      <c r="C212" s="2">
        <v>18</v>
      </c>
      <c r="D212" s="2" t="s">
        <v>67</v>
      </c>
      <c r="E212" s="2" t="e">
        <v>#N/A</v>
      </c>
      <c r="F212" s="2" t="s">
        <v>307</v>
      </c>
      <c r="G212" s="59"/>
      <c r="I212" s="2">
        <f t="shared" si="3"/>
        <v>17</v>
      </c>
    </row>
    <row r="213" spans="1:9" x14ac:dyDescent="0.35">
      <c r="A213" s="2">
        <v>211</v>
      </c>
      <c r="B213" s="2">
        <v>20170703041010</v>
      </c>
      <c r="C213" s="2" t="e">
        <v>#N/A</v>
      </c>
      <c r="D213" s="2" t="s">
        <v>214</v>
      </c>
      <c r="E213" s="2" t="e">
        <v>#N/A</v>
      </c>
      <c r="F213" s="2" t="s">
        <v>525</v>
      </c>
      <c r="G213" s="59"/>
      <c r="I213" s="2">
        <f t="shared" si="3"/>
        <v>26</v>
      </c>
    </row>
    <row r="214" spans="1:9" x14ac:dyDescent="0.35">
      <c r="A214" s="2">
        <v>212</v>
      </c>
      <c r="B214" s="2">
        <v>20170703032084</v>
      </c>
      <c r="C214" s="2" t="e">
        <v>#N/A</v>
      </c>
      <c r="D214" s="2" t="s">
        <v>248</v>
      </c>
      <c r="E214" s="2">
        <v>13</v>
      </c>
      <c r="F214" s="2" t="s">
        <v>53</v>
      </c>
      <c r="G214" s="59"/>
      <c r="I214" s="2">
        <f t="shared" si="3"/>
        <v>13</v>
      </c>
    </row>
    <row r="215" spans="1:9" x14ac:dyDescent="0.35">
      <c r="A215" s="2">
        <v>213</v>
      </c>
      <c r="B215" s="2">
        <v>20160703030097</v>
      </c>
      <c r="C215" s="2">
        <v>1</v>
      </c>
      <c r="D215" s="2" t="s">
        <v>19</v>
      </c>
      <c r="E215" s="2">
        <v>20</v>
      </c>
      <c r="F215" s="2" t="s">
        <v>71</v>
      </c>
      <c r="G215" s="59"/>
      <c r="I215" s="2">
        <f t="shared" si="3"/>
        <v>12</v>
      </c>
    </row>
    <row r="216" spans="1:9" x14ac:dyDescent="0.35">
      <c r="A216" s="2">
        <v>214</v>
      </c>
      <c r="B216" s="2">
        <v>20170703042027</v>
      </c>
      <c r="C216" s="2" t="e">
        <v>#N/A</v>
      </c>
      <c r="D216" s="2" t="s">
        <v>214</v>
      </c>
      <c r="E216" s="2" t="e">
        <v>#N/A</v>
      </c>
      <c r="F216" s="2" t="s">
        <v>443</v>
      </c>
      <c r="G216" s="59"/>
      <c r="I216" s="2">
        <f t="shared" si="3"/>
        <v>26</v>
      </c>
    </row>
    <row r="217" spans="1:9" x14ac:dyDescent="0.35">
      <c r="A217" s="2">
        <v>215</v>
      </c>
      <c r="B217" s="2">
        <v>20170703032080</v>
      </c>
      <c r="C217" s="2">
        <v>18</v>
      </c>
      <c r="D217" s="2" t="s">
        <v>67</v>
      </c>
      <c r="E217" s="2">
        <v>10</v>
      </c>
      <c r="F217" s="2" t="s">
        <v>45</v>
      </c>
      <c r="G217" s="59"/>
      <c r="I217" s="2">
        <f t="shared" si="3"/>
        <v>17</v>
      </c>
    </row>
    <row r="218" spans="1:9" x14ac:dyDescent="0.35">
      <c r="A218" s="2">
        <v>216</v>
      </c>
      <c r="B218" s="2">
        <v>20170703031014</v>
      </c>
      <c r="C218" s="2">
        <v>18</v>
      </c>
      <c r="D218" s="2" t="s">
        <v>67</v>
      </c>
      <c r="E218" s="2">
        <v>12</v>
      </c>
      <c r="F218" s="2" t="s">
        <v>50</v>
      </c>
      <c r="G218" s="59"/>
      <c r="I218" s="2">
        <f t="shared" si="3"/>
        <v>17</v>
      </c>
    </row>
  </sheetData>
  <sheetProtection selectLockedCells="1"/>
  <mergeCells count="1">
    <mergeCell ref="G1:J1"/>
  </mergeCells>
  <conditionalFormatting sqref="I3:I2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landscape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P70"/>
  <sheetViews>
    <sheetView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D1" sqref="D1"/>
    </sheetView>
  </sheetViews>
  <sheetFormatPr defaultColWidth="9.1796875" defaultRowHeight="14.5" x14ac:dyDescent="0.35"/>
  <cols>
    <col min="1" max="9" width="8.6328125" style="2" customWidth="1"/>
    <col min="10" max="10" width="9.1796875" style="2"/>
    <col min="11" max="42" width="5.1796875" style="2" customWidth="1"/>
    <col min="43" max="16384" width="9.1796875" style="2"/>
  </cols>
  <sheetData>
    <row r="1" spans="1:42" ht="16" x14ac:dyDescent="0.45">
      <c r="A1" s="17" t="s">
        <v>104</v>
      </c>
      <c r="B1" s="18"/>
      <c r="C1" s="18"/>
      <c r="D1" s="25">
        <v>13</v>
      </c>
      <c r="E1" s="21"/>
      <c r="F1" s="21"/>
      <c r="G1" s="22"/>
      <c r="H1" s="112">
        <v>18201503020031</v>
      </c>
      <c r="I1" s="113"/>
      <c r="J1" s="23"/>
      <c r="K1" s="116">
        <v>1</v>
      </c>
      <c r="L1" s="116">
        <v>2</v>
      </c>
      <c r="M1" s="116">
        <v>3</v>
      </c>
      <c r="N1" s="9">
        <v>4</v>
      </c>
      <c r="O1" s="9">
        <v>5</v>
      </c>
      <c r="P1" s="9">
        <v>6</v>
      </c>
      <c r="Q1" s="9">
        <v>7</v>
      </c>
      <c r="R1" s="9">
        <v>8</v>
      </c>
      <c r="S1" s="9">
        <v>9</v>
      </c>
      <c r="T1" s="9">
        <v>10</v>
      </c>
      <c r="U1" s="9">
        <v>11</v>
      </c>
      <c r="V1" s="9">
        <v>12</v>
      </c>
      <c r="W1" s="9">
        <v>13</v>
      </c>
      <c r="X1" s="9">
        <v>14</v>
      </c>
      <c r="Y1" s="9">
        <v>15</v>
      </c>
      <c r="Z1" s="9">
        <v>16</v>
      </c>
      <c r="AA1" s="9">
        <v>17</v>
      </c>
      <c r="AB1" s="9">
        <v>18</v>
      </c>
      <c r="AC1" s="9">
        <v>19</v>
      </c>
      <c r="AD1" s="9">
        <v>20</v>
      </c>
      <c r="AE1" s="9">
        <v>21</v>
      </c>
      <c r="AF1" s="9">
        <v>22</v>
      </c>
      <c r="AG1" s="9">
        <v>23</v>
      </c>
      <c r="AH1" s="9">
        <v>24</v>
      </c>
      <c r="AI1" s="9">
        <v>25</v>
      </c>
      <c r="AJ1" s="9">
        <v>26</v>
      </c>
      <c r="AK1" s="9">
        <v>27</v>
      </c>
      <c r="AL1" s="9">
        <v>28</v>
      </c>
      <c r="AM1" s="9">
        <v>29</v>
      </c>
      <c r="AN1" s="9">
        <v>30</v>
      </c>
      <c r="AO1" s="9">
        <v>31</v>
      </c>
      <c r="AP1" s="9">
        <v>32</v>
      </c>
    </row>
    <row r="2" spans="1:42" ht="16" x14ac:dyDescent="0.45">
      <c r="A2" s="17" t="s">
        <v>107</v>
      </c>
      <c r="B2" s="18"/>
      <c r="C2" s="18"/>
      <c r="D2" s="21" t="s">
        <v>206</v>
      </c>
      <c r="E2" s="21"/>
      <c r="F2" s="21"/>
      <c r="G2" s="22"/>
      <c r="H2" s="22" t="s">
        <v>176</v>
      </c>
      <c r="I2" s="23"/>
      <c r="J2" s="24"/>
      <c r="K2" s="11">
        <v>33</v>
      </c>
      <c r="L2" s="10">
        <v>34</v>
      </c>
      <c r="M2" s="10">
        <v>35</v>
      </c>
      <c r="N2" s="9">
        <v>36</v>
      </c>
      <c r="O2" s="9">
        <v>37</v>
      </c>
      <c r="P2" s="9">
        <v>38</v>
      </c>
      <c r="Q2" s="9">
        <v>39</v>
      </c>
      <c r="R2" s="9">
        <v>40</v>
      </c>
      <c r="S2" s="9">
        <v>41</v>
      </c>
      <c r="T2" s="9">
        <v>42</v>
      </c>
      <c r="U2" s="9">
        <v>43</v>
      </c>
      <c r="V2" s="9">
        <v>44</v>
      </c>
      <c r="W2" s="9">
        <v>45</v>
      </c>
      <c r="X2" s="9">
        <v>46</v>
      </c>
      <c r="Y2" s="9">
        <v>47</v>
      </c>
      <c r="Z2" s="9">
        <v>48</v>
      </c>
      <c r="AA2" s="9">
        <v>49</v>
      </c>
      <c r="AB2" s="9">
        <v>50</v>
      </c>
      <c r="AC2" s="9">
        <v>51</v>
      </c>
      <c r="AD2" s="9">
        <v>52</v>
      </c>
      <c r="AE2" s="9">
        <v>53</v>
      </c>
      <c r="AF2" s="9">
        <v>54</v>
      </c>
      <c r="AG2" s="9">
        <v>55</v>
      </c>
      <c r="AH2" s="9">
        <v>56</v>
      </c>
      <c r="AI2" s="9">
        <v>57</v>
      </c>
      <c r="AJ2" s="9">
        <v>58</v>
      </c>
      <c r="AK2" s="9">
        <v>59</v>
      </c>
      <c r="AL2" s="9">
        <v>60</v>
      </c>
      <c r="AM2" s="9">
        <v>61</v>
      </c>
      <c r="AN2" s="9">
        <v>62</v>
      </c>
      <c r="AO2" s="9">
        <v>63</v>
      </c>
      <c r="AP2" s="9">
        <v>64</v>
      </c>
    </row>
    <row r="3" spans="1:42" ht="16" x14ac:dyDescent="0.45">
      <c r="A3" s="17" t="s">
        <v>91</v>
      </c>
      <c r="B3" s="18"/>
      <c r="C3" s="18"/>
      <c r="D3" s="26">
        <v>24</v>
      </c>
      <c r="E3" s="28" t="s">
        <v>77</v>
      </c>
      <c r="F3" s="26"/>
      <c r="G3" s="22"/>
      <c r="H3" s="22"/>
      <c r="I3" s="24"/>
      <c r="J3" s="24"/>
      <c r="K3" s="11">
        <v>65</v>
      </c>
      <c r="L3" s="10">
        <v>66</v>
      </c>
      <c r="M3" s="10">
        <v>67</v>
      </c>
      <c r="N3" s="9">
        <v>68</v>
      </c>
      <c r="O3" s="9">
        <v>69</v>
      </c>
      <c r="P3" s="9">
        <v>70</v>
      </c>
      <c r="Q3" s="9">
        <v>71</v>
      </c>
      <c r="R3" s="9">
        <v>72</v>
      </c>
      <c r="S3" s="9">
        <v>73</v>
      </c>
      <c r="T3" s="9">
        <v>74</v>
      </c>
      <c r="U3" s="9">
        <v>75</v>
      </c>
      <c r="V3" s="9">
        <v>76</v>
      </c>
      <c r="W3" s="9">
        <v>77</v>
      </c>
      <c r="X3" s="9">
        <v>78</v>
      </c>
      <c r="Y3" s="9">
        <v>79</v>
      </c>
      <c r="Z3" s="9">
        <v>80</v>
      </c>
      <c r="AA3" s="9">
        <v>81</v>
      </c>
      <c r="AB3" s="9">
        <v>82</v>
      </c>
      <c r="AC3" s="9">
        <v>83</v>
      </c>
      <c r="AD3" s="9">
        <v>84</v>
      </c>
      <c r="AE3" s="9">
        <v>85</v>
      </c>
      <c r="AF3" s="9">
        <v>86</v>
      </c>
      <c r="AG3" s="9">
        <v>87</v>
      </c>
      <c r="AH3" s="9">
        <v>88</v>
      </c>
      <c r="AI3" s="9">
        <v>89</v>
      </c>
      <c r="AJ3" s="9">
        <v>90</v>
      </c>
      <c r="AK3" s="9">
        <v>91</v>
      </c>
      <c r="AL3" s="9">
        <v>92</v>
      </c>
      <c r="AM3" s="9">
        <v>93</v>
      </c>
      <c r="AN3" s="9">
        <v>94</v>
      </c>
      <c r="AO3" s="9">
        <v>95</v>
      </c>
      <c r="AP3" s="9">
        <v>96</v>
      </c>
    </row>
    <row r="4" spans="1:42" ht="16" x14ac:dyDescent="0.45">
      <c r="A4" s="17" t="s">
        <v>100</v>
      </c>
      <c r="B4" s="18"/>
      <c r="C4" s="18"/>
      <c r="D4" s="26">
        <v>18</v>
      </c>
      <c r="E4" s="28" t="s">
        <v>67</v>
      </c>
      <c r="F4" s="26"/>
      <c r="G4" s="22"/>
      <c r="H4" s="22"/>
      <c r="I4" s="24"/>
      <c r="J4" s="24"/>
      <c r="K4" s="11">
        <v>97</v>
      </c>
      <c r="L4" s="10">
        <v>98</v>
      </c>
      <c r="M4" s="10">
        <v>99</v>
      </c>
      <c r="N4" s="9">
        <v>100</v>
      </c>
      <c r="O4" s="9">
        <v>101</v>
      </c>
      <c r="P4" s="9">
        <v>102</v>
      </c>
      <c r="Q4" s="9">
        <v>103</v>
      </c>
      <c r="R4" s="9">
        <v>104</v>
      </c>
      <c r="S4" s="9">
        <v>105</v>
      </c>
      <c r="T4" s="9">
        <v>106</v>
      </c>
      <c r="U4" s="9">
        <v>107</v>
      </c>
      <c r="V4" s="9">
        <v>108</v>
      </c>
      <c r="W4" s="9">
        <v>109</v>
      </c>
      <c r="X4" s="9">
        <v>110</v>
      </c>
      <c r="Y4" s="9">
        <v>111</v>
      </c>
      <c r="Z4" s="9">
        <v>112</v>
      </c>
      <c r="AA4" s="9">
        <v>113</v>
      </c>
      <c r="AB4" s="9">
        <v>114</v>
      </c>
      <c r="AC4" s="9">
        <v>115</v>
      </c>
      <c r="AD4" s="9">
        <v>116</v>
      </c>
      <c r="AE4" s="9">
        <v>117</v>
      </c>
      <c r="AF4" s="9">
        <v>118</v>
      </c>
      <c r="AG4" s="9">
        <v>119</v>
      </c>
      <c r="AH4" s="9">
        <v>120</v>
      </c>
      <c r="AI4" s="9">
        <v>121</v>
      </c>
      <c r="AJ4" s="9">
        <v>122</v>
      </c>
      <c r="AK4" s="9">
        <v>123</v>
      </c>
      <c r="AL4" s="9">
        <v>124</v>
      </c>
      <c r="AM4" s="9">
        <v>125</v>
      </c>
      <c r="AN4" s="9">
        <v>126</v>
      </c>
      <c r="AO4" s="9">
        <v>127</v>
      </c>
      <c r="AP4" s="9">
        <v>128</v>
      </c>
    </row>
    <row r="5" spans="1:42" ht="16" x14ac:dyDescent="0.45">
      <c r="A5" s="17" t="s">
        <v>102</v>
      </c>
      <c r="B5" s="18"/>
      <c r="C5" s="18"/>
      <c r="D5" s="26"/>
      <c r="E5" s="28"/>
      <c r="F5" s="26"/>
      <c r="G5" s="22"/>
      <c r="H5" s="22"/>
      <c r="I5" s="24"/>
      <c r="J5" s="24"/>
      <c r="K5" s="11">
        <v>129</v>
      </c>
      <c r="L5" s="10">
        <v>130</v>
      </c>
      <c r="M5" s="10">
        <v>131</v>
      </c>
      <c r="N5" s="9">
        <v>132</v>
      </c>
      <c r="O5" s="9">
        <v>133</v>
      </c>
      <c r="P5" s="9">
        <v>134</v>
      </c>
      <c r="Q5" s="9">
        <v>135</v>
      </c>
      <c r="R5" s="9">
        <v>136</v>
      </c>
      <c r="S5" s="9">
        <v>137</v>
      </c>
      <c r="T5" s="9">
        <v>138</v>
      </c>
      <c r="U5" s="9">
        <v>139</v>
      </c>
      <c r="V5" s="9">
        <v>140</v>
      </c>
      <c r="W5" s="9">
        <v>141</v>
      </c>
      <c r="X5" s="9">
        <v>142</v>
      </c>
      <c r="Y5" s="9">
        <v>143</v>
      </c>
      <c r="Z5" s="9">
        <v>144</v>
      </c>
      <c r="AA5" s="9">
        <v>145</v>
      </c>
      <c r="AB5" s="9">
        <v>146</v>
      </c>
      <c r="AC5" s="9">
        <v>147</v>
      </c>
      <c r="AD5" s="9">
        <v>148</v>
      </c>
      <c r="AE5" s="9">
        <v>149</v>
      </c>
      <c r="AF5" s="9">
        <v>150</v>
      </c>
      <c r="AG5" s="9">
        <v>151</v>
      </c>
      <c r="AH5" s="9">
        <v>152</v>
      </c>
      <c r="AI5" s="9">
        <v>153</v>
      </c>
      <c r="AJ5" s="9">
        <v>154</v>
      </c>
      <c r="AK5" s="9">
        <v>155</v>
      </c>
      <c r="AL5" s="9">
        <v>156</v>
      </c>
      <c r="AM5" s="9">
        <v>157</v>
      </c>
      <c r="AN5" s="9">
        <v>158</v>
      </c>
      <c r="AO5" s="9">
        <v>159</v>
      </c>
      <c r="AP5" s="9">
        <v>160</v>
      </c>
    </row>
    <row r="6" spans="1:42" ht="16" x14ac:dyDescent="0.45">
      <c r="A6" s="17" t="s">
        <v>103</v>
      </c>
      <c r="B6" s="18"/>
      <c r="C6" s="18"/>
      <c r="D6" s="26"/>
      <c r="E6" s="28"/>
      <c r="F6" s="26"/>
      <c r="G6" s="22"/>
      <c r="H6" s="22"/>
      <c r="I6" s="24"/>
      <c r="J6" s="24"/>
      <c r="K6" s="11">
        <v>161</v>
      </c>
      <c r="L6" s="10">
        <v>162</v>
      </c>
      <c r="M6" s="10">
        <v>163</v>
      </c>
      <c r="N6" s="9">
        <v>164</v>
      </c>
      <c r="O6" s="9">
        <v>165</v>
      </c>
      <c r="P6" s="9">
        <v>166</v>
      </c>
      <c r="Q6" s="9">
        <v>167</v>
      </c>
      <c r="R6" s="9">
        <v>168</v>
      </c>
      <c r="S6" s="9">
        <v>169</v>
      </c>
      <c r="T6" s="9">
        <v>170</v>
      </c>
      <c r="U6" s="9">
        <v>171</v>
      </c>
      <c r="V6" s="9">
        <v>172</v>
      </c>
      <c r="W6" s="9">
        <v>173</v>
      </c>
      <c r="X6" s="9">
        <v>174</v>
      </c>
      <c r="Y6" s="9">
        <v>175</v>
      </c>
      <c r="Z6" s="9">
        <v>176</v>
      </c>
      <c r="AA6" s="9">
        <v>177</v>
      </c>
      <c r="AB6" s="9">
        <v>178</v>
      </c>
      <c r="AC6" s="9">
        <v>179</v>
      </c>
      <c r="AD6" s="9">
        <v>180</v>
      </c>
      <c r="AE6" s="9">
        <v>181</v>
      </c>
      <c r="AF6" s="9">
        <v>182</v>
      </c>
      <c r="AG6" s="9">
        <v>183</v>
      </c>
      <c r="AH6" s="9">
        <v>184</v>
      </c>
      <c r="AI6" s="9">
        <v>185</v>
      </c>
      <c r="AJ6" s="9">
        <v>186</v>
      </c>
      <c r="AK6" s="9">
        <v>187</v>
      </c>
      <c r="AL6" s="9">
        <v>188</v>
      </c>
      <c r="AM6" s="9">
        <v>189</v>
      </c>
      <c r="AN6" s="9">
        <v>190</v>
      </c>
      <c r="AO6" s="9">
        <v>191</v>
      </c>
      <c r="AP6" s="9">
        <v>192</v>
      </c>
    </row>
    <row r="7" spans="1:42" ht="16" x14ac:dyDescent="0.45">
      <c r="A7" s="19" t="s">
        <v>108</v>
      </c>
      <c r="B7" s="20"/>
      <c r="C7" s="20"/>
      <c r="D7" s="27">
        <v>3</v>
      </c>
      <c r="E7" s="27">
        <v>4</v>
      </c>
      <c r="F7" s="27">
        <v>5</v>
      </c>
      <c r="G7" s="22"/>
      <c r="H7" s="22"/>
      <c r="I7" s="24"/>
      <c r="J7" s="24"/>
      <c r="K7" s="60">
        <v>193</v>
      </c>
      <c r="L7" s="10">
        <v>194</v>
      </c>
      <c r="M7" s="10">
        <v>195</v>
      </c>
      <c r="N7" s="9">
        <v>196</v>
      </c>
      <c r="O7" s="9">
        <v>197</v>
      </c>
      <c r="P7" s="9">
        <v>198</v>
      </c>
      <c r="Q7" s="9">
        <v>199</v>
      </c>
      <c r="R7" s="9">
        <v>200</v>
      </c>
      <c r="S7" s="9">
        <v>201</v>
      </c>
      <c r="T7" s="9">
        <v>202</v>
      </c>
      <c r="U7" s="9">
        <v>203</v>
      </c>
      <c r="V7" s="9">
        <v>204</v>
      </c>
      <c r="W7" s="9">
        <v>205</v>
      </c>
      <c r="X7" s="9">
        <v>206</v>
      </c>
      <c r="Y7" s="9">
        <v>207</v>
      </c>
      <c r="Z7" s="9">
        <v>208</v>
      </c>
      <c r="AA7" s="9">
        <v>209</v>
      </c>
      <c r="AB7" s="9">
        <v>210</v>
      </c>
      <c r="AC7" s="9">
        <v>211</v>
      </c>
      <c r="AD7" s="9">
        <v>212</v>
      </c>
      <c r="AE7" s="9">
        <v>213</v>
      </c>
      <c r="AF7" s="9">
        <v>214</v>
      </c>
      <c r="AG7" s="9">
        <v>215</v>
      </c>
      <c r="AH7" s="9">
        <v>216</v>
      </c>
      <c r="AI7" s="9">
        <v>217</v>
      </c>
      <c r="AJ7" s="9">
        <v>218</v>
      </c>
      <c r="AK7" s="9">
        <v>219</v>
      </c>
      <c r="AL7" s="9">
        <v>220</v>
      </c>
      <c r="AM7" s="9">
        <v>221</v>
      </c>
      <c r="AN7" s="9">
        <v>222</v>
      </c>
      <c r="AO7" s="9">
        <v>223</v>
      </c>
      <c r="AP7" s="9">
        <v>224</v>
      </c>
    </row>
    <row r="9" spans="1:42" x14ac:dyDescent="0.35">
      <c r="A9" s="114" t="s">
        <v>105</v>
      </c>
      <c r="B9" s="114" t="s">
        <v>106</v>
      </c>
      <c r="C9" s="114" t="s">
        <v>109</v>
      </c>
      <c r="D9" s="61" t="s">
        <v>123</v>
      </c>
      <c r="E9" s="61"/>
      <c r="F9" s="61"/>
      <c r="G9" s="61"/>
      <c r="H9" s="61"/>
    </row>
    <row r="10" spans="1:42" x14ac:dyDescent="0.35">
      <c r="A10" s="117"/>
      <c r="B10" s="117"/>
      <c r="C10" s="117"/>
      <c r="D10" s="62">
        <v>1</v>
      </c>
      <c r="E10" s="62">
        <v>2</v>
      </c>
      <c r="F10" s="62">
        <v>3</v>
      </c>
      <c r="G10" s="62">
        <v>4</v>
      </c>
      <c r="H10" s="62">
        <v>5</v>
      </c>
    </row>
    <row r="11" spans="1:42" x14ac:dyDescent="0.35">
      <c r="A11" s="107" t="s">
        <v>110</v>
      </c>
      <c r="B11" s="105" t="s">
        <v>111</v>
      </c>
      <c r="C11" s="63" t="s">
        <v>117</v>
      </c>
      <c r="D11" s="4"/>
      <c r="E11" s="4"/>
      <c r="F11" s="4"/>
      <c r="G11" s="4"/>
      <c r="H11" s="4"/>
    </row>
    <row r="12" spans="1:42" x14ac:dyDescent="0.35">
      <c r="A12" s="108"/>
      <c r="B12" s="106"/>
      <c r="C12" s="63" t="s">
        <v>120</v>
      </c>
      <c r="D12" s="3"/>
      <c r="E12" s="3"/>
      <c r="F12" s="3"/>
      <c r="G12" s="3"/>
      <c r="H12" s="3"/>
    </row>
    <row r="13" spans="1:42" x14ac:dyDescent="0.35">
      <c r="A13" s="108"/>
      <c r="B13" s="106"/>
      <c r="C13" s="63" t="s">
        <v>118</v>
      </c>
      <c r="D13" s="3"/>
      <c r="E13" s="3"/>
      <c r="F13" s="3"/>
      <c r="G13" s="3"/>
      <c r="H13" s="3"/>
    </row>
    <row r="14" spans="1:42" x14ac:dyDescent="0.35">
      <c r="A14" s="108"/>
      <c r="B14" s="106"/>
      <c r="C14" s="63" t="s">
        <v>119</v>
      </c>
      <c r="D14" s="3"/>
      <c r="E14" s="3"/>
      <c r="F14" s="3"/>
      <c r="G14" s="3"/>
      <c r="H14" s="3"/>
    </row>
    <row r="15" spans="1:42" x14ac:dyDescent="0.35">
      <c r="A15" s="108"/>
      <c r="B15" s="117"/>
      <c r="C15" s="63"/>
      <c r="D15" s="3"/>
      <c r="E15" s="3"/>
      <c r="F15" s="3"/>
      <c r="G15" s="3"/>
      <c r="H15" s="3"/>
    </row>
    <row r="16" spans="1:42" x14ac:dyDescent="0.35">
      <c r="A16" s="108"/>
      <c r="B16" s="105" t="s">
        <v>112</v>
      </c>
      <c r="C16" s="63" t="s">
        <v>117</v>
      </c>
      <c r="D16" s="4"/>
      <c r="E16" s="4"/>
      <c r="F16" s="4"/>
      <c r="G16" s="4"/>
      <c r="H16" s="4"/>
    </row>
    <row r="17" spans="1:8" x14ac:dyDescent="0.35">
      <c r="A17" s="108"/>
      <c r="B17" s="106"/>
      <c r="C17" s="63" t="s">
        <v>120</v>
      </c>
      <c r="D17" s="3"/>
      <c r="E17" s="3"/>
      <c r="F17" s="3"/>
      <c r="G17" s="3"/>
      <c r="H17" s="3"/>
    </row>
    <row r="18" spans="1:8" x14ac:dyDescent="0.35">
      <c r="A18" s="108"/>
      <c r="B18" s="106"/>
      <c r="C18" s="63" t="s">
        <v>118</v>
      </c>
      <c r="D18" s="3"/>
      <c r="E18" s="3"/>
      <c r="F18" s="3"/>
      <c r="G18" s="3"/>
      <c r="H18" s="3"/>
    </row>
    <row r="19" spans="1:8" x14ac:dyDescent="0.35">
      <c r="A19" s="108"/>
      <c r="B19" s="106"/>
      <c r="C19" s="63" t="s">
        <v>119</v>
      </c>
      <c r="D19" s="3"/>
      <c r="E19" s="3"/>
      <c r="F19" s="3"/>
      <c r="G19" s="3"/>
      <c r="H19" s="3"/>
    </row>
    <row r="20" spans="1:8" x14ac:dyDescent="0.35">
      <c r="A20" s="108"/>
      <c r="B20" s="117"/>
      <c r="C20" s="63"/>
      <c r="D20" s="3"/>
      <c r="E20" s="3"/>
      <c r="F20" s="3"/>
      <c r="G20" s="3"/>
      <c r="H20" s="3"/>
    </row>
    <row r="21" spans="1:8" x14ac:dyDescent="0.35">
      <c r="A21" s="108"/>
      <c r="B21" s="105" t="s">
        <v>113</v>
      </c>
      <c r="C21" s="63" t="s">
        <v>117</v>
      </c>
      <c r="D21" s="4"/>
      <c r="E21" s="4"/>
      <c r="F21" s="4"/>
      <c r="G21" s="4"/>
      <c r="H21" s="4"/>
    </row>
    <row r="22" spans="1:8" x14ac:dyDescent="0.35">
      <c r="A22" s="108"/>
      <c r="B22" s="106"/>
      <c r="C22" s="63" t="s">
        <v>120</v>
      </c>
      <c r="D22" s="3"/>
      <c r="E22" s="3"/>
      <c r="F22" s="3"/>
      <c r="G22" s="3"/>
      <c r="H22" s="3"/>
    </row>
    <row r="23" spans="1:8" x14ac:dyDescent="0.35">
      <c r="A23" s="108"/>
      <c r="B23" s="106"/>
      <c r="C23" s="63" t="s">
        <v>118</v>
      </c>
      <c r="D23" s="3"/>
      <c r="E23" s="3"/>
      <c r="F23" s="3"/>
      <c r="G23" s="3"/>
      <c r="H23" s="3"/>
    </row>
    <row r="24" spans="1:8" x14ac:dyDescent="0.35">
      <c r="A24" s="108"/>
      <c r="B24" s="106"/>
      <c r="C24" s="63" t="s">
        <v>119</v>
      </c>
      <c r="D24" s="3"/>
      <c r="E24" s="3"/>
      <c r="F24" s="3"/>
      <c r="G24" s="3"/>
      <c r="H24" s="3"/>
    </row>
    <row r="25" spans="1:8" x14ac:dyDescent="0.35">
      <c r="A25" s="108"/>
      <c r="B25" s="117"/>
      <c r="C25" s="63"/>
      <c r="D25" s="3"/>
      <c r="E25" s="3"/>
      <c r="F25" s="3"/>
      <c r="G25" s="3"/>
      <c r="H25" s="3"/>
    </row>
    <row r="26" spans="1:8" x14ac:dyDescent="0.35">
      <c r="A26" s="108"/>
      <c r="B26" s="105" t="s">
        <v>603</v>
      </c>
      <c r="C26" s="63" t="s">
        <v>117</v>
      </c>
      <c r="D26" s="4"/>
      <c r="E26" s="4"/>
      <c r="F26" s="4"/>
      <c r="G26" s="4"/>
      <c r="H26" s="4"/>
    </row>
    <row r="27" spans="1:8" x14ac:dyDescent="0.35">
      <c r="A27" s="108"/>
      <c r="B27" s="106"/>
      <c r="C27" s="63" t="s">
        <v>120</v>
      </c>
      <c r="D27" s="3"/>
      <c r="E27" s="3"/>
      <c r="F27" s="3"/>
      <c r="G27" s="3"/>
      <c r="H27" s="3"/>
    </row>
    <row r="28" spans="1:8" x14ac:dyDescent="0.35">
      <c r="A28" s="108"/>
      <c r="B28" s="106"/>
      <c r="C28" s="63" t="s">
        <v>118</v>
      </c>
      <c r="D28" s="3"/>
      <c r="E28" s="3"/>
      <c r="F28" s="3"/>
      <c r="G28" s="3"/>
      <c r="H28" s="3"/>
    </row>
    <row r="29" spans="1:8" x14ac:dyDescent="0.35">
      <c r="A29" s="108"/>
      <c r="B29" s="106"/>
      <c r="C29" s="63" t="s">
        <v>119</v>
      </c>
      <c r="D29" s="3"/>
      <c r="E29" s="3"/>
      <c r="F29" s="3"/>
      <c r="G29" s="3"/>
      <c r="H29" s="3"/>
    </row>
    <row r="30" spans="1:8" x14ac:dyDescent="0.35">
      <c r="A30" s="118"/>
      <c r="B30" s="117"/>
      <c r="C30" s="63"/>
      <c r="D30" s="3"/>
      <c r="E30" s="3"/>
      <c r="F30" s="3"/>
      <c r="G30" s="3"/>
      <c r="H30" s="3"/>
    </row>
    <row r="31" spans="1:8" x14ac:dyDescent="0.35">
      <c r="A31" s="110" t="s">
        <v>114</v>
      </c>
      <c r="B31" s="109" t="s">
        <v>111</v>
      </c>
      <c r="C31" s="64" t="s">
        <v>117</v>
      </c>
      <c r="D31" s="4"/>
      <c r="E31" s="4"/>
      <c r="F31" s="4"/>
      <c r="G31" s="4"/>
      <c r="H31" s="4"/>
    </row>
    <row r="32" spans="1:8" x14ac:dyDescent="0.35">
      <c r="A32" s="111"/>
      <c r="B32" s="106"/>
      <c r="C32" s="64" t="s">
        <v>120</v>
      </c>
      <c r="D32" s="3"/>
      <c r="E32" s="3"/>
      <c r="F32" s="3"/>
      <c r="G32" s="3"/>
      <c r="H32" s="3"/>
    </row>
    <row r="33" spans="1:8" x14ac:dyDescent="0.35">
      <c r="A33" s="111"/>
      <c r="B33" s="106"/>
      <c r="C33" s="64" t="s">
        <v>118</v>
      </c>
      <c r="D33" s="3"/>
      <c r="E33" s="3"/>
      <c r="F33" s="3"/>
      <c r="G33" s="3"/>
      <c r="H33" s="3"/>
    </row>
    <row r="34" spans="1:8" x14ac:dyDescent="0.35">
      <c r="A34" s="111"/>
      <c r="B34" s="106"/>
      <c r="C34" s="64" t="s">
        <v>119</v>
      </c>
      <c r="D34" s="3"/>
      <c r="E34" s="3"/>
      <c r="F34" s="3"/>
      <c r="G34" s="3"/>
      <c r="H34" s="3"/>
    </row>
    <row r="35" spans="1:8" x14ac:dyDescent="0.35">
      <c r="A35" s="111"/>
      <c r="B35" s="117"/>
      <c r="C35" s="64"/>
      <c r="D35" s="3"/>
      <c r="E35" s="3"/>
      <c r="F35" s="3"/>
      <c r="G35" s="3"/>
      <c r="H35" s="3"/>
    </row>
    <row r="36" spans="1:8" x14ac:dyDescent="0.35">
      <c r="A36" s="111"/>
      <c r="B36" s="109" t="s">
        <v>112</v>
      </c>
      <c r="C36" s="64" t="s">
        <v>117</v>
      </c>
      <c r="D36" s="4"/>
      <c r="E36" s="4"/>
      <c r="F36" s="4"/>
      <c r="G36" s="4"/>
      <c r="H36" s="4"/>
    </row>
    <row r="37" spans="1:8" x14ac:dyDescent="0.35">
      <c r="A37" s="111"/>
      <c r="B37" s="106"/>
      <c r="C37" s="64" t="s">
        <v>120</v>
      </c>
      <c r="D37" s="3"/>
      <c r="E37" s="3"/>
      <c r="F37" s="3"/>
      <c r="G37" s="3"/>
      <c r="H37" s="3"/>
    </row>
    <row r="38" spans="1:8" x14ac:dyDescent="0.35">
      <c r="A38" s="111"/>
      <c r="B38" s="106"/>
      <c r="C38" s="64" t="s">
        <v>118</v>
      </c>
      <c r="D38" s="3"/>
      <c r="E38" s="3"/>
      <c r="F38" s="3"/>
      <c r="G38" s="3"/>
      <c r="H38" s="3"/>
    </row>
    <row r="39" spans="1:8" x14ac:dyDescent="0.35">
      <c r="A39" s="111"/>
      <c r="B39" s="106"/>
      <c r="C39" s="64" t="s">
        <v>119</v>
      </c>
      <c r="D39" s="3"/>
      <c r="E39" s="3"/>
      <c r="F39" s="3"/>
      <c r="G39" s="3"/>
      <c r="H39" s="3"/>
    </row>
    <row r="40" spans="1:8" x14ac:dyDescent="0.35">
      <c r="A40" s="111"/>
      <c r="B40" s="117"/>
      <c r="C40" s="64"/>
      <c r="D40" s="3"/>
      <c r="E40" s="3"/>
      <c r="F40" s="3"/>
      <c r="G40" s="3"/>
      <c r="H40" s="3"/>
    </row>
    <row r="41" spans="1:8" x14ac:dyDescent="0.35">
      <c r="A41" s="111"/>
      <c r="B41" s="109" t="s">
        <v>113</v>
      </c>
      <c r="C41" s="64" t="s">
        <v>117</v>
      </c>
      <c r="D41" s="4"/>
      <c r="E41" s="4"/>
      <c r="F41" s="4"/>
      <c r="G41" s="4"/>
      <c r="H41" s="4"/>
    </row>
    <row r="42" spans="1:8" x14ac:dyDescent="0.35">
      <c r="A42" s="111"/>
      <c r="B42" s="106"/>
      <c r="C42" s="64" t="s">
        <v>120</v>
      </c>
      <c r="D42" s="3"/>
      <c r="E42" s="3"/>
      <c r="F42" s="3"/>
      <c r="G42" s="3"/>
      <c r="H42" s="3"/>
    </row>
    <row r="43" spans="1:8" x14ac:dyDescent="0.35">
      <c r="A43" s="111"/>
      <c r="B43" s="106"/>
      <c r="C43" s="64" t="s">
        <v>118</v>
      </c>
      <c r="D43" s="3"/>
      <c r="E43" s="3"/>
      <c r="F43" s="3"/>
      <c r="G43" s="3"/>
      <c r="H43" s="3"/>
    </row>
    <row r="44" spans="1:8" x14ac:dyDescent="0.35">
      <c r="A44" s="111"/>
      <c r="B44" s="106"/>
      <c r="C44" s="64" t="s">
        <v>119</v>
      </c>
      <c r="D44" s="3"/>
      <c r="E44" s="3"/>
      <c r="F44" s="3"/>
      <c r="G44" s="3"/>
      <c r="H44" s="3"/>
    </row>
    <row r="45" spans="1:8" x14ac:dyDescent="0.35">
      <c r="A45" s="111"/>
      <c r="B45" s="117"/>
      <c r="C45" s="64"/>
      <c r="D45" s="3"/>
      <c r="E45" s="3"/>
      <c r="F45" s="3"/>
      <c r="G45" s="3"/>
      <c r="H45" s="3"/>
    </row>
    <row r="46" spans="1:8" x14ac:dyDescent="0.35">
      <c r="A46" s="111"/>
      <c r="B46" s="109" t="s">
        <v>603</v>
      </c>
      <c r="C46" s="64" t="s">
        <v>117</v>
      </c>
      <c r="D46" s="4"/>
      <c r="E46" s="4"/>
      <c r="F46" s="4"/>
      <c r="G46" s="4"/>
      <c r="H46" s="4"/>
    </row>
    <row r="47" spans="1:8" x14ac:dyDescent="0.35">
      <c r="A47" s="111"/>
      <c r="B47" s="106"/>
      <c r="C47" s="64" t="s">
        <v>120</v>
      </c>
      <c r="D47" s="3"/>
      <c r="E47" s="3"/>
      <c r="F47" s="3"/>
      <c r="G47" s="3"/>
      <c r="H47" s="3"/>
    </row>
    <row r="48" spans="1:8" x14ac:dyDescent="0.35">
      <c r="A48" s="111"/>
      <c r="B48" s="106"/>
      <c r="C48" s="64" t="s">
        <v>118</v>
      </c>
      <c r="D48" s="3"/>
      <c r="E48" s="3"/>
      <c r="F48" s="3"/>
      <c r="G48" s="3"/>
      <c r="H48" s="3"/>
    </row>
    <row r="49" spans="1:8" x14ac:dyDescent="0.35">
      <c r="A49" s="111"/>
      <c r="B49" s="106"/>
      <c r="C49" s="64" t="s">
        <v>119</v>
      </c>
      <c r="D49" s="3"/>
      <c r="E49" s="3"/>
      <c r="F49" s="3"/>
      <c r="G49" s="3"/>
      <c r="H49" s="3"/>
    </row>
    <row r="50" spans="1:8" x14ac:dyDescent="0.35">
      <c r="A50" s="115"/>
      <c r="B50" s="117"/>
      <c r="C50" s="64"/>
      <c r="D50" s="3"/>
      <c r="E50" s="3"/>
      <c r="F50" s="3"/>
      <c r="G50" s="3"/>
      <c r="H50" s="3"/>
    </row>
    <row r="51" spans="1:8" x14ac:dyDescent="0.35">
      <c r="A51" s="107" t="s">
        <v>115</v>
      </c>
      <c r="B51" s="105" t="s">
        <v>111</v>
      </c>
      <c r="C51" s="63" t="s">
        <v>117</v>
      </c>
      <c r="D51" s="4"/>
      <c r="E51" s="4"/>
      <c r="F51" s="4"/>
      <c r="G51" s="4"/>
      <c r="H51" s="4"/>
    </row>
    <row r="52" spans="1:8" x14ac:dyDescent="0.35">
      <c r="A52" s="108"/>
      <c r="B52" s="106"/>
      <c r="C52" s="63" t="s">
        <v>120</v>
      </c>
      <c r="D52" s="3"/>
      <c r="E52" s="3"/>
      <c r="F52" s="3"/>
      <c r="G52" s="3"/>
      <c r="H52" s="3"/>
    </row>
    <row r="53" spans="1:8" x14ac:dyDescent="0.35">
      <c r="A53" s="108"/>
      <c r="B53" s="106"/>
      <c r="C53" s="63" t="s">
        <v>118</v>
      </c>
      <c r="D53" s="3"/>
      <c r="E53" s="3"/>
      <c r="F53" s="3"/>
      <c r="G53" s="3"/>
      <c r="H53" s="3"/>
    </row>
    <row r="54" spans="1:8" x14ac:dyDescent="0.35">
      <c r="A54" s="108"/>
      <c r="B54" s="106"/>
      <c r="C54" s="63" t="s">
        <v>119</v>
      </c>
      <c r="D54" s="3"/>
      <c r="E54" s="3"/>
      <c r="F54" s="3"/>
      <c r="G54" s="3"/>
      <c r="H54" s="3"/>
    </row>
    <row r="55" spans="1:8" x14ac:dyDescent="0.35">
      <c r="A55" s="108"/>
      <c r="B55" s="117"/>
      <c r="C55" s="63"/>
      <c r="D55" s="3"/>
      <c r="E55" s="3"/>
      <c r="F55" s="3"/>
      <c r="G55" s="3"/>
      <c r="H55" s="3"/>
    </row>
    <row r="56" spans="1:8" x14ac:dyDescent="0.35">
      <c r="A56" s="108"/>
      <c r="B56" s="105" t="s">
        <v>112</v>
      </c>
      <c r="C56" s="63" t="s">
        <v>117</v>
      </c>
      <c r="D56" s="4"/>
      <c r="E56" s="4"/>
      <c r="F56" s="4"/>
      <c r="G56" s="4"/>
      <c r="H56" s="4"/>
    </row>
    <row r="57" spans="1:8" x14ac:dyDescent="0.35">
      <c r="A57" s="108"/>
      <c r="B57" s="106"/>
      <c r="C57" s="63" t="s">
        <v>120</v>
      </c>
      <c r="D57" s="3"/>
      <c r="E57" s="3"/>
      <c r="F57" s="3"/>
      <c r="G57" s="3"/>
      <c r="H57" s="3"/>
    </row>
    <row r="58" spans="1:8" x14ac:dyDescent="0.35">
      <c r="A58" s="108"/>
      <c r="B58" s="106"/>
      <c r="C58" s="63" t="s">
        <v>118</v>
      </c>
      <c r="D58" s="3"/>
      <c r="E58" s="3"/>
      <c r="F58" s="3"/>
      <c r="G58" s="3"/>
      <c r="H58" s="3"/>
    </row>
    <row r="59" spans="1:8" x14ac:dyDescent="0.35">
      <c r="A59" s="108"/>
      <c r="B59" s="106"/>
      <c r="C59" s="63" t="s">
        <v>119</v>
      </c>
      <c r="D59" s="3"/>
      <c r="E59" s="3"/>
      <c r="F59" s="3"/>
      <c r="G59" s="3"/>
      <c r="H59" s="3"/>
    </row>
    <row r="60" spans="1:8" x14ac:dyDescent="0.35">
      <c r="A60" s="108"/>
      <c r="B60" s="117"/>
      <c r="C60" s="63"/>
      <c r="D60" s="3"/>
      <c r="E60" s="3"/>
      <c r="F60" s="3"/>
      <c r="G60" s="3"/>
      <c r="H60" s="3"/>
    </row>
    <row r="61" spans="1:8" x14ac:dyDescent="0.35">
      <c r="A61" s="108"/>
      <c r="B61" s="105" t="s">
        <v>113</v>
      </c>
      <c r="C61" s="63" t="s">
        <v>117</v>
      </c>
      <c r="D61" s="4"/>
      <c r="E61" s="4"/>
      <c r="F61" s="4"/>
      <c r="G61" s="4"/>
      <c r="H61" s="4"/>
    </row>
    <row r="62" spans="1:8" x14ac:dyDescent="0.35">
      <c r="A62" s="108"/>
      <c r="B62" s="106"/>
      <c r="C62" s="63" t="s">
        <v>120</v>
      </c>
      <c r="D62" s="3"/>
      <c r="E62" s="3"/>
      <c r="F62" s="3"/>
      <c r="G62" s="3"/>
      <c r="H62" s="3"/>
    </row>
    <row r="63" spans="1:8" x14ac:dyDescent="0.35">
      <c r="A63" s="108"/>
      <c r="B63" s="106"/>
      <c r="C63" s="63" t="s">
        <v>118</v>
      </c>
      <c r="D63" s="3"/>
      <c r="E63" s="3"/>
      <c r="F63" s="3"/>
      <c r="G63" s="3"/>
      <c r="H63" s="3"/>
    </row>
    <row r="64" spans="1:8" x14ac:dyDescent="0.35">
      <c r="A64" s="108"/>
      <c r="B64" s="106"/>
      <c r="C64" s="63" t="s">
        <v>119</v>
      </c>
      <c r="D64" s="3"/>
      <c r="E64" s="3"/>
      <c r="F64" s="3"/>
      <c r="G64" s="3"/>
      <c r="H64" s="3"/>
    </row>
    <row r="65" spans="1:8" x14ac:dyDescent="0.35">
      <c r="A65" s="108"/>
      <c r="B65" s="117"/>
      <c r="C65" s="63"/>
      <c r="D65" s="3"/>
      <c r="E65" s="3"/>
      <c r="F65" s="3"/>
      <c r="G65" s="3"/>
      <c r="H65" s="3"/>
    </row>
    <row r="66" spans="1:8" x14ac:dyDescent="0.35">
      <c r="A66" s="108"/>
      <c r="B66" s="105" t="s">
        <v>603</v>
      </c>
      <c r="C66" s="63" t="s">
        <v>117</v>
      </c>
      <c r="D66" s="4"/>
      <c r="E66" s="4"/>
      <c r="F66" s="4"/>
      <c r="G66" s="4"/>
      <c r="H66" s="4"/>
    </row>
    <row r="67" spans="1:8" x14ac:dyDescent="0.35">
      <c r="A67" s="108"/>
      <c r="B67" s="106"/>
      <c r="C67" s="63" t="s">
        <v>120</v>
      </c>
      <c r="D67" s="3"/>
      <c r="E67" s="3"/>
      <c r="F67" s="3"/>
      <c r="G67" s="3"/>
      <c r="H67" s="3"/>
    </row>
    <row r="68" spans="1:8" x14ac:dyDescent="0.35">
      <c r="A68" s="108"/>
      <c r="B68" s="106"/>
      <c r="C68" s="63" t="s">
        <v>118</v>
      </c>
      <c r="D68" s="3"/>
      <c r="E68" s="3"/>
      <c r="F68" s="3"/>
      <c r="G68" s="3"/>
      <c r="H68" s="3"/>
    </row>
    <row r="69" spans="1:8" x14ac:dyDescent="0.35">
      <c r="A69" s="108"/>
      <c r="B69" s="106"/>
      <c r="C69" s="63" t="s">
        <v>119</v>
      </c>
      <c r="D69" s="3"/>
      <c r="E69" s="3"/>
      <c r="F69" s="3"/>
      <c r="G69" s="3"/>
      <c r="H69" s="3"/>
    </row>
    <row r="70" spans="1:8" x14ac:dyDescent="0.35">
      <c r="A70" s="118"/>
      <c r="B70" s="117"/>
      <c r="C70" s="63"/>
      <c r="D70" s="3"/>
      <c r="E70" s="3"/>
      <c r="F70" s="3"/>
      <c r="G70" s="3"/>
      <c r="H70" s="3"/>
    </row>
  </sheetData>
  <sheetProtection sheet="1" objects="1" scenarios="1" selectLockedCells="1"/>
  <mergeCells count="19">
    <mergeCell ref="A9:A10"/>
    <mergeCell ref="B9:B10"/>
    <mergeCell ref="C9:C10"/>
    <mergeCell ref="B11:B15"/>
    <mergeCell ref="A11:A30"/>
    <mergeCell ref="A31:A50"/>
    <mergeCell ref="B56:B60"/>
    <mergeCell ref="B61:B65"/>
    <mergeCell ref="B66:B70"/>
    <mergeCell ref="H1:I1"/>
    <mergeCell ref="B41:B45"/>
    <mergeCell ref="B46:B50"/>
    <mergeCell ref="B51:B55"/>
    <mergeCell ref="B16:B20"/>
    <mergeCell ref="B21:B25"/>
    <mergeCell ref="B26:B30"/>
    <mergeCell ref="B31:B35"/>
    <mergeCell ref="B36:B40"/>
    <mergeCell ref="A51:A70"/>
  </mergeCells>
  <conditionalFormatting sqref="D11:H11">
    <cfRule type="cellIs" dxfId="59" priority="1" stopIfTrue="1" operator="equal">
      <formula>$D$1</formula>
    </cfRule>
  </conditionalFormatting>
  <conditionalFormatting sqref="D12:H12">
    <cfRule type="expression" dxfId="58" priority="2" stopIfTrue="1">
      <formula>D11=$D$1</formula>
    </cfRule>
  </conditionalFormatting>
  <conditionalFormatting sqref="D13:H13">
    <cfRule type="expression" dxfId="57" priority="3" stopIfTrue="1">
      <formula>D11=$D$1</formula>
    </cfRule>
  </conditionalFormatting>
  <conditionalFormatting sqref="D14:H14">
    <cfRule type="expression" dxfId="56" priority="4" stopIfTrue="1">
      <formula>D11=$D$1</formula>
    </cfRule>
  </conditionalFormatting>
  <conditionalFormatting sqref="D15:H15">
    <cfRule type="expression" dxfId="55" priority="5" stopIfTrue="1">
      <formula>D11=$D$1</formula>
    </cfRule>
  </conditionalFormatting>
  <conditionalFormatting sqref="D16:H16">
    <cfRule type="cellIs" dxfId="54" priority="6" stopIfTrue="1" operator="equal">
      <formula>$D$1</formula>
    </cfRule>
  </conditionalFormatting>
  <conditionalFormatting sqref="D17:H17">
    <cfRule type="expression" dxfId="53" priority="7" stopIfTrue="1">
      <formula>D16=$D$1</formula>
    </cfRule>
  </conditionalFormatting>
  <conditionalFormatting sqref="D18:H18">
    <cfRule type="expression" dxfId="52" priority="8" stopIfTrue="1">
      <formula>D16=$D$1</formula>
    </cfRule>
  </conditionalFormatting>
  <conditionalFormatting sqref="D19:H19">
    <cfRule type="expression" dxfId="51" priority="9" stopIfTrue="1">
      <formula>D16=$D$1</formula>
    </cfRule>
  </conditionalFormatting>
  <conditionalFormatting sqref="D20:H20">
    <cfRule type="expression" dxfId="50" priority="10" stopIfTrue="1">
      <formula>D16=$D$1</formula>
    </cfRule>
  </conditionalFormatting>
  <conditionalFormatting sqref="D21:H21">
    <cfRule type="cellIs" dxfId="49" priority="11" stopIfTrue="1" operator="equal">
      <formula>$D$1</formula>
    </cfRule>
  </conditionalFormatting>
  <conditionalFormatting sqref="D22:H22">
    <cfRule type="expression" dxfId="48" priority="12" stopIfTrue="1">
      <formula>D21=$D$1</formula>
    </cfRule>
  </conditionalFormatting>
  <conditionalFormatting sqref="D23:H23">
    <cfRule type="expression" dxfId="47" priority="13" stopIfTrue="1">
      <formula>D21=$D$1</formula>
    </cfRule>
  </conditionalFormatting>
  <conditionalFormatting sqref="D24:H24">
    <cfRule type="expression" dxfId="46" priority="14" stopIfTrue="1">
      <formula>D21=$D$1</formula>
    </cfRule>
  </conditionalFormatting>
  <conditionalFormatting sqref="D25:H25">
    <cfRule type="expression" dxfId="45" priority="15" stopIfTrue="1">
      <formula>D21=$D$1</formula>
    </cfRule>
  </conditionalFormatting>
  <conditionalFormatting sqref="D26:H26">
    <cfRule type="cellIs" dxfId="44" priority="16" stopIfTrue="1" operator="equal">
      <formula>$D$1</formula>
    </cfRule>
  </conditionalFormatting>
  <conditionalFormatting sqref="D27:H27">
    <cfRule type="expression" dxfId="43" priority="17" stopIfTrue="1">
      <formula>D26=$D$1</formula>
    </cfRule>
  </conditionalFormatting>
  <conditionalFormatting sqref="D28:H28">
    <cfRule type="expression" dxfId="42" priority="18" stopIfTrue="1">
      <formula>D26=$D$1</formula>
    </cfRule>
  </conditionalFormatting>
  <conditionalFormatting sqref="D29:H29">
    <cfRule type="expression" dxfId="41" priority="19" stopIfTrue="1">
      <formula>D26=$D$1</formula>
    </cfRule>
  </conditionalFormatting>
  <conditionalFormatting sqref="D30:H30">
    <cfRule type="expression" dxfId="40" priority="20" stopIfTrue="1">
      <formula>D26=$D$1</formula>
    </cfRule>
  </conditionalFormatting>
  <conditionalFormatting sqref="D31:H31">
    <cfRule type="cellIs" dxfId="39" priority="21" stopIfTrue="1" operator="equal">
      <formula>$D$1</formula>
    </cfRule>
  </conditionalFormatting>
  <conditionalFormatting sqref="D32:H32">
    <cfRule type="expression" dxfId="38" priority="22" stopIfTrue="1">
      <formula>D31=$D$1</formula>
    </cfRule>
  </conditionalFormatting>
  <conditionalFormatting sqref="D33:H33">
    <cfRule type="expression" dxfId="37" priority="23" stopIfTrue="1">
      <formula>D31=$D$1</formula>
    </cfRule>
  </conditionalFormatting>
  <conditionalFormatting sqref="D34:H34">
    <cfRule type="expression" dxfId="36" priority="24" stopIfTrue="1">
      <formula>D31=$D$1</formula>
    </cfRule>
  </conditionalFormatting>
  <conditionalFormatting sqref="D35:H35">
    <cfRule type="expression" dxfId="35" priority="25" stopIfTrue="1">
      <formula>D31=$D$1</formula>
    </cfRule>
  </conditionalFormatting>
  <conditionalFormatting sqref="D36:H36">
    <cfRule type="cellIs" dxfId="34" priority="26" stopIfTrue="1" operator="equal">
      <formula>$D$1</formula>
    </cfRule>
  </conditionalFormatting>
  <conditionalFormatting sqref="D37:H37">
    <cfRule type="expression" dxfId="33" priority="27" stopIfTrue="1">
      <formula>D36=$D$1</formula>
    </cfRule>
  </conditionalFormatting>
  <conditionalFormatting sqref="D38:H38">
    <cfRule type="expression" dxfId="32" priority="28" stopIfTrue="1">
      <formula>D36=$D$1</formula>
    </cfRule>
  </conditionalFormatting>
  <conditionalFormatting sqref="D39:H39">
    <cfRule type="expression" dxfId="31" priority="29" stopIfTrue="1">
      <formula>D36=$D$1</formula>
    </cfRule>
  </conditionalFormatting>
  <conditionalFormatting sqref="D40:H40">
    <cfRule type="expression" dxfId="30" priority="30" stopIfTrue="1">
      <formula>D36=$D$1</formula>
    </cfRule>
  </conditionalFormatting>
  <conditionalFormatting sqref="D41:H41">
    <cfRule type="cellIs" dxfId="29" priority="31" stopIfTrue="1" operator="equal">
      <formula>$D$1</formula>
    </cfRule>
  </conditionalFormatting>
  <conditionalFormatting sqref="D42:H42">
    <cfRule type="expression" dxfId="28" priority="32" stopIfTrue="1">
      <formula>D41=$D$1</formula>
    </cfRule>
  </conditionalFormatting>
  <conditionalFormatting sqref="D43:H43">
    <cfRule type="expression" dxfId="27" priority="33" stopIfTrue="1">
      <formula>D41=$D$1</formula>
    </cfRule>
  </conditionalFormatting>
  <conditionalFormatting sqref="D44:H44">
    <cfRule type="expression" dxfId="26" priority="34" stopIfTrue="1">
      <formula>D41=$D$1</formula>
    </cfRule>
  </conditionalFormatting>
  <conditionalFormatting sqref="D45:H45">
    <cfRule type="expression" dxfId="25" priority="35" stopIfTrue="1">
      <formula>D41=$D$1</formula>
    </cfRule>
  </conditionalFormatting>
  <conditionalFormatting sqref="D46:H46">
    <cfRule type="cellIs" dxfId="24" priority="36" stopIfTrue="1" operator="equal">
      <formula>$D$1</formula>
    </cfRule>
  </conditionalFormatting>
  <conditionalFormatting sqref="D47:H47">
    <cfRule type="expression" dxfId="23" priority="37" stopIfTrue="1">
      <formula>D46=$D$1</formula>
    </cfRule>
  </conditionalFormatting>
  <conditionalFormatting sqref="D48:H48">
    <cfRule type="expression" dxfId="22" priority="38" stopIfTrue="1">
      <formula>D46=$D$1</formula>
    </cfRule>
  </conditionalFormatting>
  <conditionalFormatting sqref="D49:H49">
    <cfRule type="expression" dxfId="21" priority="39" stopIfTrue="1">
      <formula>D46=$D$1</formula>
    </cfRule>
  </conditionalFormatting>
  <conditionalFormatting sqref="D50:H50">
    <cfRule type="expression" dxfId="20" priority="40" stopIfTrue="1">
      <formula>D46=$D$1</formula>
    </cfRule>
  </conditionalFormatting>
  <conditionalFormatting sqref="D51:H51">
    <cfRule type="cellIs" dxfId="19" priority="41" stopIfTrue="1" operator="equal">
      <formula>$D$1</formula>
    </cfRule>
  </conditionalFormatting>
  <conditionalFormatting sqref="D52:H52">
    <cfRule type="expression" dxfId="18" priority="42" stopIfTrue="1">
      <formula>D51=$D$1</formula>
    </cfRule>
  </conditionalFormatting>
  <conditionalFormatting sqref="D53:H53">
    <cfRule type="expression" dxfId="17" priority="43" stopIfTrue="1">
      <formula>D51=$D$1</formula>
    </cfRule>
  </conditionalFormatting>
  <conditionalFormatting sqref="D54:H54">
    <cfRule type="expression" dxfId="16" priority="44" stopIfTrue="1">
      <formula>D51=$D$1</formula>
    </cfRule>
  </conditionalFormatting>
  <conditionalFormatting sqref="D55:H55">
    <cfRule type="expression" dxfId="15" priority="45" stopIfTrue="1">
      <formula>D51=$D$1</formula>
    </cfRule>
  </conditionalFormatting>
  <conditionalFormatting sqref="D56:H56">
    <cfRule type="cellIs" dxfId="14" priority="46" stopIfTrue="1" operator="equal">
      <formula>$D$1</formula>
    </cfRule>
  </conditionalFormatting>
  <conditionalFormatting sqref="D57:H57">
    <cfRule type="expression" dxfId="13" priority="47" stopIfTrue="1">
      <formula>D56=$D$1</formula>
    </cfRule>
  </conditionalFormatting>
  <conditionalFormatting sqref="D58:H58">
    <cfRule type="expression" dxfId="12" priority="48" stopIfTrue="1">
      <formula>D56=$D$1</formula>
    </cfRule>
  </conditionalFormatting>
  <conditionalFormatting sqref="D59:H59">
    <cfRule type="expression" dxfId="11" priority="49" stopIfTrue="1">
      <formula>D56=$D$1</formula>
    </cfRule>
  </conditionalFormatting>
  <conditionalFormatting sqref="D60:H60">
    <cfRule type="expression" dxfId="10" priority="50" stopIfTrue="1">
      <formula>D56=$D$1</formula>
    </cfRule>
  </conditionalFormatting>
  <conditionalFormatting sqref="D61:H61">
    <cfRule type="cellIs" dxfId="9" priority="51" stopIfTrue="1" operator="equal">
      <formula>$D$1</formula>
    </cfRule>
  </conditionalFormatting>
  <conditionalFormatting sqref="D62:H62">
    <cfRule type="expression" dxfId="8" priority="52" stopIfTrue="1">
      <formula>D61=$D$1</formula>
    </cfRule>
  </conditionalFormatting>
  <conditionalFormatting sqref="D63:H63">
    <cfRule type="expression" dxfId="7" priority="53" stopIfTrue="1">
      <formula>D61=$D$1</formula>
    </cfRule>
  </conditionalFormatting>
  <conditionalFormatting sqref="D64:H64">
    <cfRule type="expression" dxfId="6" priority="54" stopIfTrue="1">
      <formula>D61=$D$1</formula>
    </cfRule>
  </conditionalFormatting>
  <conditionalFormatting sqref="D65:H65">
    <cfRule type="expression" dxfId="5" priority="55" stopIfTrue="1">
      <formula>D61=$D$1</formula>
    </cfRule>
  </conditionalFormatting>
  <conditionalFormatting sqref="D66:H66">
    <cfRule type="cellIs" dxfId="4" priority="56" stopIfTrue="1" operator="equal">
      <formula>$D$1</formula>
    </cfRule>
  </conditionalFormatting>
  <conditionalFormatting sqref="D67:H67">
    <cfRule type="expression" dxfId="3" priority="57" stopIfTrue="1">
      <formula>D66=$D$1</formula>
    </cfRule>
  </conditionalFormatting>
  <conditionalFormatting sqref="D68:H68">
    <cfRule type="expression" dxfId="2" priority="58" stopIfTrue="1">
      <formula>D66=$D$1</formula>
    </cfRule>
  </conditionalFormatting>
  <conditionalFormatting sqref="D69:H69">
    <cfRule type="expression" dxfId="1" priority="59" stopIfTrue="1">
      <formula>D66=$D$1</formula>
    </cfRule>
  </conditionalFormatting>
  <conditionalFormatting sqref="D70:H70">
    <cfRule type="expression" dxfId="0" priority="60" stopIfTrue="1">
      <formula>D66=$D$1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14"/>
  <sheetViews>
    <sheetView workbookViewId="0"/>
  </sheetViews>
  <sheetFormatPr defaultRowHeight="14.5" x14ac:dyDescent="0.35"/>
  <sheetData>
    <row r="1" spans="1:15" x14ac:dyDescent="0.35">
      <c r="A1" s="29" t="s">
        <v>124</v>
      </c>
      <c r="B1" s="29"/>
      <c r="C1" s="29"/>
      <c r="D1" s="30"/>
      <c r="E1" s="65" t="s">
        <v>148</v>
      </c>
      <c r="F1" s="65"/>
      <c r="G1" s="65"/>
      <c r="I1" s="42" t="s">
        <v>125</v>
      </c>
      <c r="J1" s="42"/>
      <c r="K1" s="42"/>
      <c r="M1" s="90" t="s">
        <v>161</v>
      </c>
      <c r="N1" s="77"/>
      <c r="O1" s="77"/>
    </row>
    <row r="2" spans="1:15" x14ac:dyDescent="0.35">
      <c r="A2" s="31" t="s">
        <v>127</v>
      </c>
      <c r="B2" s="31"/>
      <c r="C2" s="31"/>
      <c r="D2" s="30"/>
      <c r="E2" s="66" t="s">
        <v>149</v>
      </c>
      <c r="F2" s="66"/>
      <c r="G2" s="66"/>
      <c r="I2" s="43" t="s">
        <v>128</v>
      </c>
      <c r="J2" s="43"/>
      <c r="K2" s="43"/>
      <c r="M2" s="91" t="s">
        <v>162</v>
      </c>
      <c r="N2" s="78"/>
      <c r="O2" s="78"/>
    </row>
    <row r="3" spans="1:15" x14ac:dyDescent="0.35">
      <c r="A3" s="32" t="s">
        <v>130</v>
      </c>
      <c r="B3" s="32"/>
      <c r="C3" s="32"/>
      <c r="D3" s="30"/>
      <c r="E3" s="67" t="s">
        <v>150</v>
      </c>
      <c r="F3" s="67"/>
      <c r="G3" s="67"/>
      <c r="I3" s="44" t="s">
        <v>131</v>
      </c>
      <c r="J3" s="44"/>
      <c r="K3" s="44"/>
      <c r="M3" s="92" t="s">
        <v>163</v>
      </c>
      <c r="N3" s="79"/>
      <c r="O3" s="79"/>
    </row>
    <row r="4" spans="1:15" x14ac:dyDescent="0.35">
      <c r="A4" s="33" t="s">
        <v>132</v>
      </c>
      <c r="B4" s="33"/>
      <c r="C4" s="33"/>
      <c r="D4" s="30"/>
      <c r="E4" s="68" t="s">
        <v>151</v>
      </c>
      <c r="F4" s="68"/>
      <c r="G4" s="68"/>
      <c r="I4" s="45" t="s">
        <v>133</v>
      </c>
      <c r="J4" s="45"/>
      <c r="K4" s="45"/>
      <c r="M4" s="93" t="s">
        <v>164</v>
      </c>
      <c r="N4" s="80"/>
      <c r="O4" s="80"/>
    </row>
    <row r="5" spans="1:15" x14ac:dyDescent="0.35">
      <c r="A5" s="34" t="s">
        <v>134</v>
      </c>
      <c r="B5" s="34"/>
      <c r="C5" s="34"/>
      <c r="D5" s="30"/>
      <c r="E5" s="69" t="s">
        <v>152</v>
      </c>
      <c r="F5" s="69"/>
      <c r="G5" s="69"/>
      <c r="I5" s="46" t="s">
        <v>135</v>
      </c>
      <c r="J5" s="46"/>
      <c r="K5" s="46"/>
      <c r="M5" s="94" t="s">
        <v>165</v>
      </c>
      <c r="N5" s="81"/>
      <c r="O5" s="81"/>
    </row>
    <row r="6" spans="1:15" x14ac:dyDescent="0.35">
      <c r="A6" s="35" t="s">
        <v>136</v>
      </c>
      <c r="B6" s="35"/>
      <c r="C6" s="35"/>
      <c r="D6" s="30"/>
      <c r="E6" s="70" t="s">
        <v>153</v>
      </c>
      <c r="F6" s="70"/>
      <c r="G6" s="70"/>
      <c r="I6" s="47" t="s">
        <v>137</v>
      </c>
      <c r="J6" s="47"/>
      <c r="K6" s="47"/>
      <c r="M6" s="95" t="s">
        <v>166</v>
      </c>
      <c r="N6" s="82"/>
      <c r="O6" s="82"/>
    </row>
    <row r="7" spans="1:15" x14ac:dyDescent="0.35">
      <c r="A7" s="36" t="s">
        <v>138</v>
      </c>
      <c r="B7" s="36"/>
      <c r="C7" s="36"/>
      <c r="D7" s="30"/>
      <c r="E7" s="71" t="s">
        <v>154</v>
      </c>
      <c r="F7" s="71"/>
      <c r="G7" s="71"/>
      <c r="I7" s="48" t="s">
        <v>139</v>
      </c>
      <c r="J7" s="48"/>
      <c r="K7" s="48"/>
      <c r="M7" s="96" t="s">
        <v>167</v>
      </c>
      <c r="N7" s="83"/>
      <c r="O7" s="83"/>
    </row>
    <row r="8" spans="1:15" x14ac:dyDescent="0.35">
      <c r="A8" s="37" t="s">
        <v>140</v>
      </c>
      <c r="B8" s="37"/>
      <c r="C8" s="37"/>
      <c r="D8" s="30"/>
      <c r="E8" s="72" t="s">
        <v>155</v>
      </c>
      <c r="F8" s="72"/>
      <c r="G8" s="72"/>
      <c r="I8" s="49" t="s">
        <v>141</v>
      </c>
      <c r="J8" s="49"/>
      <c r="K8" s="49"/>
      <c r="M8" s="97" t="s">
        <v>168</v>
      </c>
      <c r="N8" s="84"/>
      <c r="O8" s="84"/>
    </row>
    <row r="9" spans="1:15" x14ac:dyDescent="0.35">
      <c r="A9" s="38" t="s">
        <v>142</v>
      </c>
      <c r="B9" s="38"/>
      <c r="C9" s="38"/>
      <c r="D9" s="30"/>
      <c r="E9" s="73" t="s">
        <v>156</v>
      </c>
      <c r="F9" s="73"/>
      <c r="G9" s="73"/>
      <c r="I9" s="50" t="s">
        <v>143</v>
      </c>
      <c r="J9" s="50"/>
      <c r="K9" s="50"/>
      <c r="M9" s="98" t="s">
        <v>169</v>
      </c>
      <c r="N9" s="85"/>
      <c r="O9" s="85"/>
    </row>
    <row r="10" spans="1:15" x14ac:dyDescent="0.35">
      <c r="A10" s="39" t="s">
        <v>144</v>
      </c>
      <c r="B10" s="39"/>
      <c r="C10" s="39"/>
      <c r="D10" s="30"/>
      <c r="E10" s="74" t="s">
        <v>157</v>
      </c>
      <c r="F10" s="74"/>
      <c r="G10" s="74"/>
      <c r="I10" s="51" t="s">
        <v>145</v>
      </c>
      <c r="J10" s="51"/>
      <c r="K10" s="51"/>
      <c r="M10" s="99" t="s">
        <v>170</v>
      </c>
      <c r="N10" s="86"/>
      <c r="O10" s="86"/>
    </row>
    <row r="11" spans="1:15" x14ac:dyDescent="0.35">
      <c r="A11" s="40" t="s">
        <v>146</v>
      </c>
      <c r="B11" s="40"/>
      <c r="C11" s="40"/>
      <c r="D11" s="30"/>
      <c r="E11" s="75" t="s">
        <v>158</v>
      </c>
      <c r="F11" s="75"/>
      <c r="G11" s="75"/>
      <c r="I11" s="52" t="s">
        <v>126</v>
      </c>
      <c r="J11" s="52"/>
      <c r="K11" s="52"/>
      <c r="M11" s="100" t="s">
        <v>171</v>
      </c>
      <c r="N11" s="87"/>
      <c r="O11" s="87"/>
    </row>
    <row r="12" spans="1:15" x14ac:dyDescent="0.35">
      <c r="A12" s="41" t="s">
        <v>147</v>
      </c>
      <c r="B12" s="41"/>
      <c r="C12" s="41"/>
      <c r="D12" s="30"/>
      <c r="E12" s="76" t="s">
        <v>159</v>
      </c>
      <c r="F12" s="76"/>
      <c r="G12" s="76"/>
      <c r="I12" s="53" t="s">
        <v>129</v>
      </c>
      <c r="J12" s="53"/>
      <c r="K12" s="53"/>
      <c r="M12" s="101" t="s">
        <v>172</v>
      </c>
      <c r="N12" s="88"/>
      <c r="O12" s="88"/>
    </row>
    <row r="13" spans="1:15" x14ac:dyDescent="0.35">
      <c r="A13" s="89" t="s">
        <v>160</v>
      </c>
      <c r="B13" s="89"/>
      <c r="C13" s="89"/>
      <c r="D13" s="30"/>
      <c r="E13" s="30"/>
      <c r="F13" s="30"/>
      <c r="G13" s="30"/>
    </row>
    <row r="14" spans="1:15" x14ac:dyDescent="0.35">
      <c r="F14" s="12"/>
      <c r="G14" s="12"/>
      <c r="H14" s="12"/>
      <c r="I14" s="12"/>
      <c r="J14" s="12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susTab" label="SISTEM UJIAN SKRIPSI" insertBeforeMso="TabHome">
        <group id="susKomponen" label="Komponen" autoScale="true">
          <button id="btnReferensi" label="Referensi" imageMso="ColumnsDialog" onAction="PanelReferensi" size="large"/>
          <button id="btnDosen" label="Dosen" imageMso="AccountMenu" onAction="Dosen" size="large"/>
          <button id="btnMhs" label="Mahasiswa" imageMso="ArrangeByAccount" onAction="DafMhs" size="large"/>
          <button id="btnDistro" label="Distribusi" imageMso="WindowNew" onAction="Distro" size="large"/>
        </group>
        <group id="suSJadwal" label="Penjadwalan" autoScale="true">
          <button id="btnMatrix" label="Jadwal" imageMso="SubdocumentOpen" onAction="Matriks" size="large"/>
          <button id="btnRinci" label="Ringkas|Rinci" imageMso="ZoomPrintPreviewExcel" onAction="Ringkas" size="large"/>
          <button id="btnTampil" label="Proyeksi" imageMso="ViewSlideShowView" onAction="Proyeksi" size="large"/>
          <button id="btnLampir" label="Lampiran SK" imageMso="Folder" onAction="Lampiran" size="large"/>
        </group>
        <group id="susUmum" label="Umum" autoScale="true">
          <button id="btnLayout" label="TataLetak" imageMso="ViewPageBreakPreviewView" onAction="AturHalaman" size="large"/>
          <button id="btnRefresh" label="Refresh" imageMso="EndOfLine" onAction="Refresh" size="large"/>
          <button id="btnFreeze" label="Freeze" imageMso="AppointmentBusy" onAction="Inisial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PANEL</vt:lpstr>
      <vt:lpstr>DOSEN</vt:lpstr>
      <vt:lpstr>MAHASISWA</vt:lpstr>
      <vt:lpstr>COMBO</vt:lpstr>
      <vt:lpstr>ZOOM</vt:lpstr>
      <vt:lpstr>JADWAL</vt:lpstr>
      <vt:lpstr>PANEL_FAK</vt:lpstr>
      <vt:lpstr>PANEL_PT</vt:lpstr>
      <vt:lpstr>PANEL_REF</vt:lpstr>
      <vt:lpstr>PANEL_SK</vt:lpstr>
      <vt:lpstr>PANEL_SMT</vt:lpstr>
      <vt:lpstr>PANEL_SMTAK</vt:lpstr>
      <vt:lpstr>PANEL_THNAKA</vt:lpstr>
      <vt:lpstr>ZOOM!Print_Area</vt:lpstr>
      <vt:lpstr>ZOOM!Z_ANKER</vt:lpstr>
      <vt:lpstr>ZOOM!Z_CEK</vt:lpstr>
      <vt:lpstr>ZOOM!Z_ID1</vt:lpstr>
      <vt:lpstr>ZOOM!Z_ID2</vt:lpstr>
      <vt:lpstr>ZOOM!Z_ID3</vt:lpstr>
      <vt:lpstr>ZOOM!Z_ID4</vt:lpstr>
      <vt:lpstr>ZOOM!Z_JHARI</vt:lpstr>
      <vt:lpstr>ZOOM!Z_JJAM</vt:lpstr>
      <vt:lpstr>ZOOM!Z_JRUANG</vt:lpstr>
      <vt:lpstr>ZOOM!Z_NAMA</vt:lpstr>
      <vt:lpstr>ZOOM!Z_NIM</vt:lpstr>
      <vt:lpstr>ZOOM!Z_PEMBIMBING</vt:lpstr>
      <vt:lpstr>ZOOM!Z_PENGUJI1</vt:lpstr>
      <vt:lpstr>ZOOM!Z_PENGUJI2</vt:lpstr>
      <vt:lpstr>ZOOM!Z_PENGUJI3</vt:lpstr>
      <vt:lpstr>ZOOM!Z_PRODI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ABDUS SYAKUR</dc:creator>
  <cp:lastModifiedBy>Abdus Syakur</cp:lastModifiedBy>
  <dcterms:created xsi:type="dcterms:W3CDTF">2020-02-04T06:12:21Z</dcterms:created>
  <dcterms:modified xsi:type="dcterms:W3CDTF">2021-05-16T12:09:36Z</dcterms:modified>
</cp:coreProperties>
</file>